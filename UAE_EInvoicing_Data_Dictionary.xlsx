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Worked Example" sheetId="4" state="visible" r:id="rId4"/>
    <sheet xmlns:r="http://schemas.openxmlformats.org/officeDocument/2006/relationships" name="Code Lists" sheetId="5" state="visible" r:id="rId5"/>
  </sheets>
  <definedNames>
    <definedName name="_xlnm._FilterDatabase" localSheetId="1" hidden="1">'Data Dictionary'!$A$1:$J$1</definedName>
    <definedName name="_xlnm._FilterDatabase" localSheetId="2" hidden="1">'Calculations'!$A$1:$E$1</definedName>
    <definedName name="_xlnm._FilterDatabase" localSheetId="4" hidden="1">'Code Lists'!$A$1:$C$1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3"/>
    </font>
    <font>
      <color rgb="000000FF"/>
    </font>
    <font/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3" fillId="0" borderId="0" pivotButton="0" quotePrefix="0" xfId="0"/>
    <xf numFmtId="0" fontId="2" fillId="2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UAE e-Invoicing (FTA) Data Dictionary, PINT AE / EN16931 based</t>
        </is>
      </c>
    </row>
    <row r="2">
      <c r="A2" s="2" t="inlineStr">
        <is>
          <t>M = Mandatory, CM = Conditionally mandatory, O = Optional.</t>
        </is>
      </c>
    </row>
    <row r="3">
      <c r="A3" s="2" t="inlineStr">
        <is>
          <t>Sheets: Data Dictionary (all fields), Calculations (formulas), Worked Example (live Excel formulas), Code Lists.</t>
        </is>
      </c>
    </row>
    <row r="4">
      <c r="A4" s="2" t="inlineStr">
        <is>
          <t>IMPORTANT: compiled from the PINT AE model and FTA e-invoicing guidance as known to the author. Verify every M/CM/O status, code list and rule against the latest FTA Data Dictionary / Ministerial Decision annex and the Peppol PINT AE specification before building or certifying.</t>
        </is>
      </c>
    </row>
    <row r="5">
      <c r="A5" s="2" t="inlineStr">
        <is>
          <t>Not included: exchange-rate / customs / free-zone specific extension fields beyond BTAE-02, and the 5-corner (FTA reporting) message envelope.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6" customWidth="1" min="3" max="3"/>
    <col width="11" customWidth="1" min="4" max="4"/>
    <col width="9" customWidth="1" min="5" max="5"/>
    <col width="50" customWidth="1" min="6" max="6"/>
    <col width="26" customWidth="1" min="7" max="7"/>
    <col width="28" customWidth="1" min="8" max="8"/>
    <col width="50" customWidth="1" min="9" max="9"/>
    <col width="55" customWidth="1" min="10" max="10"/>
  </cols>
  <sheetData>
    <row r="1">
      <c r="A1" s="3" t="inlineStr">
        <is>
          <t>Ref</t>
        </is>
      </c>
      <c r="B1" s="3" t="inlineStr">
        <is>
          <t>Group</t>
        </is>
      </c>
      <c r="C1" s="3" t="inlineStr">
        <is>
          <t>Business term</t>
        </is>
      </c>
      <c r="D1" s="3" t="inlineStr">
        <is>
          <t>Cardinality</t>
        </is>
      </c>
      <c r="E1" s="3" t="inlineStr">
        <is>
          <t>M/CM/O</t>
        </is>
      </c>
      <c r="F1" s="3" t="inlineStr">
        <is>
          <t>Description</t>
        </is>
      </c>
      <c r="G1" s="3" t="inlineStr">
        <is>
          <t>Format / type</t>
        </is>
      </c>
      <c r="H1" s="3" t="inlineStr">
        <is>
          <t>Example</t>
        </is>
      </c>
      <c r="I1" s="3" t="inlineStr">
        <is>
          <t>Rules</t>
        </is>
      </c>
      <c r="J1" s="3" t="inlineStr">
        <is>
          <t>Conditional rule</t>
        </is>
      </c>
    </row>
    <row r="2">
      <c r="A2" s="4" t="inlineStr">
        <is>
          <t>BT-24</t>
        </is>
      </c>
      <c r="B2" s="4" t="inlineStr">
        <is>
          <t>Invoice header</t>
        </is>
      </c>
      <c r="C2" s="4" t="inlineStr">
        <is>
          <t>Specification identifier</t>
        </is>
      </c>
      <c r="D2" s="4" t="inlineStr">
        <is>
          <t>1..1</t>
        </is>
      </c>
      <c r="E2" s="5" t="inlineStr">
        <is>
          <t>M</t>
        </is>
      </c>
      <c r="F2" s="4" t="inlineStr">
        <is>
          <t>Identifies the PINT AE specification the invoice conforms to.</t>
        </is>
      </c>
      <c r="G2" s="4" t="inlineStr">
        <is>
          <t>Text</t>
        </is>
      </c>
      <c r="H2" s="4" t="inlineStr">
        <is>
          <t>urn:peppol:pint:billing-1@ae-1</t>
        </is>
      </c>
      <c r="I2" s="4" t="inlineStr">
        <is>
          <t>Fixed value per PINT AE version in force.</t>
        </is>
      </c>
      <c r="J2" s="4" t="inlineStr"/>
    </row>
    <row r="3">
      <c r="A3" s="4" t="inlineStr">
        <is>
          <t>BT-23</t>
        </is>
      </c>
      <c r="B3" s="4" t="inlineStr">
        <is>
          <t>Invoice header</t>
        </is>
      </c>
      <c r="C3" s="4" t="inlineStr">
        <is>
          <t>Business process type (Profile ID)</t>
        </is>
      </c>
      <c r="D3" s="4" t="inlineStr">
        <is>
          <t>1..1</t>
        </is>
      </c>
      <c r="E3" s="5" t="inlineStr">
        <is>
          <t>M</t>
        </is>
      </c>
      <c r="F3" s="4" t="inlineStr">
        <is>
          <t>Identifies the business process/profile (tax invoice vs. commercial etc.).</t>
        </is>
      </c>
      <c r="G3" s="4" t="inlineStr">
        <is>
          <t>Text</t>
        </is>
      </c>
      <c r="H3" s="4" t="inlineStr">
        <is>
          <t>urn:peppol:bis:billing</t>
        </is>
      </c>
      <c r="I3" s="4" t="inlineStr">
        <is>
          <t>Must be from FTA-published profile list.</t>
        </is>
      </c>
      <c r="J3" s="4" t="inlineStr">
        <is>
          <t>Commercial-invoice profile is used only for supplies outside VAT scope; tax invoice profile otherwise.</t>
        </is>
      </c>
    </row>
    <row r="4">
      <c r="A4" s="4" t="inlineStr">
        <is>
          <t>BT-1</t>
        </is>
      </c>
      <c r="B4" s="4" t="inlineStr">
        <is>
          <t>Invoice header</t>
        </is>
      </c>
      <c r="C4" s="4" t="inlineStr">
        <is>
          <t>Invoice number</t>
        </is>
      </c>
      <c r="D4" s="4" t="inlineStr">
        <is>
          <t>1..1</t>
        </is>
      </c>
      <c r="E4" s="5" t="inlineStr">
        <is>
          <t>M</t>
        </is>
      </c>
      <c r="F4" s="4" t="inlineStr">
        <is>
          <t>Unique identification of the invoice assigned by the seller.</t>
        </is>
      </c>
      <c r="G4" s="4" t="inlineStr">
        <is>
          <t>Identifier</t>
        </is>
      </c>
      <c r="H4" s="4" t="inlineStr">
        <is>
          <t>INV-2026-000123</t>
        </is>
      </c>
      <c r="I4" s="4" t="inlineStr">
        <is>
          <t>Unique per seller; sequential/traceable; max 35 chars recommended.</t>
        </is>
      </c>
      <c r="J4" s="4" t="inlineStr">
        <is>
          <t>Credit note: own unique number, not the original's.</t>
        </is>
      </c>
    </row>
    <row r="5">
      <c r="A5" s="4" t="inlineStr">
        <is>
          <t>BT-2</t>
        </is>
      </c>
      <c r="B5" s="4" t="inlineStr">
        <is>
          <t>Invoice header</t>
        </is>
      </c>
      <c r="C5" s="4" t="inlineStr">
        <is>
          <t>Invoice issue date</t>
        </is>
      </c>
      <c r="D5" s="4" t="inlineStr">
        <is>
          <t>1..1</t>
        </is>
      </c>
      <c r="E5" s="5" t="inlineStr">
        <is>
          <t>M</t>
        </is>
      </c>
      <c r="F5" s="4" t="inlineStr">
        <is>
          <t>Date the invoice was issued.</t>
        </is>
      </c>
      <c r="G5" s="4" t="inlineStr">
        <is>
          <t>Date YYYY-MM-DD</t>
        </is>
      </c>
      <c r="H5" s="4" t="inlineStr">
        <is>
          <t>2026-10-30</t>
        </is>
      </c>
      <c r="I5" s="4" t="inlineStr">
        <is>
          <t>Valid calendar date; not in the future.</t>
        </is>
      </c>
      <c r="J5" s="4" t="inlineStr"/>
    </row>
    <row r="6">
      <c r="A6" s="4" t="inlineStr">
        <is>
          <t>BT-3</t>
        </is>
      </c>
      <c r="B6" s="4" t="inlineStr">
        <is>
          <t>Invoice header</t>
        </is>
      </c>
      <c r="C6" s="4" t="inlineStr">
        <is>
          <t>Invoice type code</t>
        </is>
      </c>
      <c r="D6" s="4" t="inlineStr">
        <is>
          <t>1..1</t>
        </is>
      </c>
      <c r="E6" s="5" t="inlineStr">
        <is>
          <t>M</t>
        </is>
      </c>
      <c r="F6" s="4" t="inlineStr">
        <is>
          <t>Document type (UNCL1001 subset).</t>
        </is>
      </c>
      <c r="G6" s="4" t="inlineStr">
        <is>
          <t>Code</t>
        </is>
      </c>
      <c r="H6" s="4" t="inlineStr">
        <is>
          <t>380</t>
        </is>
      </c>
      <c r="I6" s="4" t="inlineStr">
        <is>
          <t>380 Tax invoice; 381 Credit note; 384 Corrected invoice; 389 Self-billed invoice (per FTA list).</t>
        </is>
      </c>
      <c r="J6" s="4" t="inlineStr">
        <is>
          <t>381 requires BG-3 (BT-25).</t>
        </is>
      </c>
    </row>
    <row r="7">
      <c r="A7" s="4" t="inlineStr">
        <is>
          <t>BTAE-02</t>
        </is>
      </c>
      <c r="B7" s="4" t="inlineStr">
        <is>
          <t>Invoice header</t>
        </is>
      </c>
      <c r="C7" s="4" t="inlineStr">
        <is>
          <t>Invoice transaction type code (flags)</t>
        </is>
      </c>
      <c r="D7" s="4" t="inlineStr">
        <is>
          <t>1..1</t>
        </is>
      </c>
      <c r="E7" s="5" t="inlineStr">
        <is>
          <t>M</t>
        </is>
      </c>
      <c r="F7" s="4" t="inlineStr">
        <is>
          <t>8-position binary string in InvoiceTypeCode@name. Pos: 1 Free zone, 2 Deemed supply, 3 Margin scheme, 4 Summary invoice, 5 Continuous supply, 6 Disclosed agent billing, 7 E-commerce supply, 8 Exports.</t>
        </is>
      </c>
      <c r="G7" s="4" t="inlineStr">
        <is>
          <t>Text (8 chars of 0/1)</t>
        </is>
      </c>
      <c r="H7" s="4" t="inlineStr">
        <is>
          <t>00000000</t>
        </is>
      </c>
      <c r="I7" s="4" t="inlineStr">
        <is>
          <t>Exactly 8 chars, only 0 or 1.</t>
        </is>
      </c>
      <c r="J7" s="4" t="inlineStr">
        <is>
          <t>Pos 5=1 =&gt; BG-14 invoicing period mandatory. Pos 8=1 =&gt; zero-rating/export rules apply. Pos 1=1 =&gt; free-zone buyer/seller rules apply.</t>
        </is>
      </c>
    </row>
    <row r="8">
      <c r="A8" s="4" t="inlineStr">
        <is>
          <t>BT-5</t>
        </is>
      </c>
      <c r="B8" s="4" t="inlineStr">
        <is>
          <t>Invoice header</t>
        </is>
      </c>
      <c r="C8" s="4" t="inlineStr">
        <is>
          <t>Invoice currency code</t>
        </is>
      </c>
      <c r="D8" s="4" t="inlineStr">
        <is>
          <t>1..1</t>
        </is>
      </c>
      <c r="E8" s="5" t="inlineStr">
        <is>
          <t>M</t>
        </is>
      </c>
      <c r="F8" s="4" t="inlineStr">
        <is>
          <t>Currency in which amounts are stated.</t>
        </is>
      </c>
      <c r="G8" s="4" t="inlineStr">
        <is>
          <t>Code (ISO 4217)</t>
        </is>
      </c>
      <c r="H8" s="4" t="inlineStr">
        <is>
          <t>AED</t>
        </is>
      </c>
      <c r="I8" s="4" t="inlineStr">
        <is>
          <t>ISO 4217 alpha-3.</t>
        </is>
      </c>
      <c r="J8" s="4" t="inlineStr"/>
    </row>
    <row r="9">
      <c r="A9" s="4" t="inlineStr">
        <is>
          <t>BT-6</t>
        </is>
      </c>
      <c r="B9" s="4" t="inlineStr">
        <is>
          <t>Invoice header</t>
        </is>
      </c>
      <c r="C9" s="4" t="inlineStr">
        <is>
          <t>VAT accounting currency code</t>
        </is>
      </c>
      <c r="D9" s="4" t="inlineStr">
        <is>
          <t>0..1</t>
        </is>
      </c>
      <c r="E9" s="6" t="inlineStr">
        <is>
          <t>CM</t>
        </is>
      </c>
      <c r="F9" s="4" t="inlineStr">
        <is>
          <t>Currency used for VAT accounting/reporting.</t>
        </is>
      </c>
      <c r="G9" s="4" t="inlineStr">
        <is>
          <t>Code (ISO 4217)</t>
        </is>
      </c>
      <c r="H9" s="4" t="inlineStr">
        <is>
          <t>AED</t>
        </is>
      </c>
      <c r="I9" s="4" t="inlineStr">
        <is>
          <t>Must be AED for UAE VAT reporting.</t>
        </is>
      </c>
      <c r="J9" s="4" t="inlineStr">
        <is>
          <t>Mandatory if BT-5 &lt;&gt; AED; then BT-111 is mandatory.</t>
        </is>
      </c>
    </row>
    <row r="10">
      <c r="A10" s="4" t="inlineStr">
        <is>
          <t>BT-7</t>
        </is>
      </c>
      <c r="B10" s="4" t="inlineStr">
        <is>
          <t>Invoice header</t>
        </is>
      </c>
      <c r="C10" s="4" t="inlineStr">
        <is>
          <t>Value added tax point date</t>
        </is>
      </c>
      <c r="D10" s="4" t="inlineStr">
        <is>
          <t>0..1</t>
        </is>
      </c>
      <c r="E10" s="7" t="inlineStr">
        <is>
          <t>O</t>
        </is>
      </c>
      <c r="F10" s="4" t="inlineStr">
        <is>
          <t>Date VAT becomes chargeable if different from issue date.</t>
        </is>
      </c>
      <c r="G10" s="4" t="inlineStr">
        <is>
          <t>Date YYYY-MM-DD</t>
        </is>
      </c>
      <c r="H10" s="4" t="inlineStr">
        <is>
          <t>2026-10-28</t>
        </is>
      </c>
      <c r="I10" s="4" t="inlineStr"/>
      <c r="J10" s="4" t="inlineStr"/>
    </row>
    <row r="11">
      <c r="A11" s="4" t="inlineStr">
        <is>
          <t>BT-9</t>
        </is>
      </c>
      <c r="B11" s="4" t="inlineStr">
        <is>
          <t>Invoice header</t>
        </is>
      </c>
      <c r="C11" s="4" t="inlineStr">
        <is>
          <t>Payment due date</t>
        </is>
      </c>
      <c r="D11" s="4" t="inlineStr">
        <is>
          <t>0..1</t>
        </is>
      </c>
      <c r="E11" s="7" t="inlineStr">
        <is>
          <t>O</t>
        </is>
      </c>
      <c r="F11" s="4" t="inlineStr">
        <is>
          <t>Date payment is due.</t>
        </is>
      </c>
      <c r="G11" s="4" t="inlineStr">
        <is>
          <t>Date YYYY-MM-DD</t>
        </is>
      </c>
      <c r="H11" s="4" t="inlineStr">
        <is>
          <t>2026-11-30</t>
        </is>
      </c>
      <c r="I11" s="4" t="inlineStr">
        <is>
          <t>Not earlier than BT-2 (business sense).</t>
        </is>
      </c>
      <c r="J11" s="4" t="inlineStr"/>
    </row>
    <row r="12">
      <c r="A12" s="4" t="inlineStr">
        <is>
          <t>BT-10</t>
        </is>
      </c>
      <c r="B12" s="4" t="inlineStr">
        <is>
          <t>Invoice header</t>
        </is>
      </c>
      <c r="C12" s="4" t="inlineStr">
        <is>
          <t>Buyer reference</t>
        </is>
      </c>
      <c r="D12" s="4" t="inlineStr">
        <is>
          <t>0..1</t>
        </is>
      </c>
      <c r="E12" s="7" t="inlineStr">
        <is>
          <t>O</t>
        </is>
      </c>
      <c r="F12" s="4" t="inlineStr">
        <is>
          <t>Reference given by buyer (e.g. cost centre).</t>
        </is>
      </c>
      <c r="G12" s="4" t="inlineStr">
        <is>
          <t>Text</t>
        </is>
      </c>
      <c r="H12" s="4" t="inlineStr">
        <is>
          <t>CC-4471</t>
        </is>
      </c>
      <c r="I12" s="4" t="inlineStr"/>
      <c r="J12" s="4" t="inlineStr"/>
    </row>
    <row r="13">
      <c r="A13" s="4" t="inlineStr">
        <is>
          <t>BT-11</t>
        </is>
      </c>
      <c r="B13" s="4" t="inlineStr">
        <is>
          <t>Invoice header</t>
        </is>
      </c>
      <c r="C13" s="4" t="inlineStr">
        <is>
          <t>Project reference</t>
        </is>
      </c>
      <c r="D13" s="4" t="inlineStr">
        <is>
          <t>0..1</t>
        </is>
      </c>
      <c r="E13" s="7" t="inlineStr">
        <is>
          <t>O</t>
        </is>
      </c>
      <c r="F13" s="4" t="inlineStr">
        <is>
          <t>Project identifier.</t>
        </is>
      </c>
      <c r="G13" s="4" t="inlineStr">
        <is>
          <t>Identifier</t>
        </is>
      </c>
      <c r="H13" s="4" t="inlineStr">
        <is>
          <t>PRJ-77</t>
        </is>
      </c>
      <c r="I13" s="4" t="inlineStr"/>
      <c r="J13" s="4" t="inlineStr"/>
    </row>
    <row r="14">
      <c r="A14" s="4" t="inlineStr">
        <is>
          <t>BT-12</t>
        </is>
      </c>
      <c r="B14" s="4" t="inlineStr">
        <is>
          <t>Invoice header</t>
        </is>
      </c>
      <c r="C14" s="4" t="inlineStr">
        <is>
          <t>Contract reference</t>
        </is>
      </c>
      <c r="D14" s="4" t="inlineStr">
        <is>
          <t>0..1</t>
        </is>
      </c>
      <c r="E14" s="7" t="inlineStr">
        <is>
          <t>O</t>
        </is>
      </c>
      <c r="F14" s="4" t="inlineStr">
        <is>
          <t>Contract identifier.</t>
        </is>
      </c>
      <c r="G14" s="4" t="inlineStr">
        <is>
          <t>Identifier</t>
        </is>
      </c>
      <c r="H14" s="4" t="inlineStr">
        <is>
          <t>CTR-2026-09</t>
        </is>
      </c>
      <c r="I14" s="4" t="inlineStr"/>
      <c r="J14" s="4" t="inlineStr"/>
    </row>
    <row r="15">
      <c r="A15" s="4" t="inlineStr">
        <is>
          <t>BT-13</t>
        </is>
      </c>
      <c r="B15" s="4" t="inlineStr">
        <is>
          <t>Invoice header</t>
        </is>
      </c>
      <c r="C15" s="4" t="inlineStr">
        <is>
          <t>Purchase order reference</t>
        </is>
      </c>
      <c r="D15" s="4" t="inlineStr">
        <is>
          <t>0..1</t>
        </is>
      </c>
      <c r="E15" s="7" t="inlineStr">
        <is>
          <t>O</t>
        </is>
      </c>
      <c r="F15" s="4" t="inlineStr">
        <is>
          <t>PO referenced by the buyer.</t>
        </is>
      </c>
      <c r="G15" s="4" t="inlineStr">
        <is>
          <t>Identifier</t>
        </is>
      </c>
      <c r="H15" s="4" t="inlineStr">
        <is>
          <t>PO-558812</t>
        </is>
      </c>
      <c r="I15" s="4" t="inlineStr"/>
      <c r="J15" s="4" t="inlineStr"/>
    </row>
    <row r="16">
      <c r="A16" s="4" t="inlineStr">
        <is>
          <t>BT-14</t>
        </is>
      </c>
      <c r="B16" s="4" t="inlineStr">
        <is>
          <t>Invoice header</t>
        </is>
      </c>
      <c r="C16" s="4" t="inlineStr">
        <is>
          <t>Sales order reference</t>
        </is>
      </c>
      <c r="D16" s="4" t="inlineStr">
        <is>
          <t>0..1</t>
        </is>
      </c>
      <c r="E16" s="7" t="inlineStr">
        <is>
          <t>O</t>
        </is>
      </c>
      <c r="F16" s="4" t="inlineStr">
        <is>
          <t>Seller's sales order.</t>
        </is>
      </c>
      <c r="G16" s="4" t="inlineStr">
        <is>
          <t>Identifier</t>
        </is>
      </c>
      <c r="H16" s="4" t="inlineStr">
        <is>
          <t>SO-9921</t>
        </is>
      </c>
      <c r="I16" s="4" t="inlineStr"/>
      <c r="J16" s="4" t="inlineStr"/>
    </row>
    <row r="17">
      <c r="A17" s="4" t="inlineStr">
        <is>
          <t>BT-15</t>
        </is>
      </c>
      <c r="B17" s="4" t="inlineStr">
        <is>
          <t>Invoice header</t>
        </is>
      </c>
      <c r="C17" s="4" t="inlineStr">
        <is>
          <t>Receiving advice reference</t>
        </is>
      </c>
      <c r="D17" s="4" t="inlineStr">
        <is>
          <t>0..1</t>
        </is>
      </c>
      <c r="E17" s="7" t="inlineStr">
        <is>
          <t>O</t>
        </is>
      </c>
      <c r="F17" s="4" t="inlineStr">
        <is>
          <t>Receiving advice document.</t>
        </is>
      </c>
      <c r="G17" s="4" t="inlineStr">
        <is>
          <t>Identifier</t>
        </is>
      </c>
      <c r="H17" s="4" t="inlineStr">
        <is>
          <t>RA-120</t>
        </is>
      </c>
      <c r="I17" s="4" t="inlineStr"/>
      <c r="J17" s="4" t="inlineStr"/>
    </row>
    <row r="18">
      <c r="A18" s="4" t="inlineStr">
        <is>
          <t>BT-16</t>
        </is>
      </c>
      <c r="B18" s="4" t="inlineStr">
        <is>
          <t>Invoice header</t>
        </is>
      </c>
      <c r="C18" s="4" t="inlineStr">
        <is>
          <t>Despatch advice reference</t>
        </is>
      </c>
      <c r="D18" s="4" t="inlineStr">
        <is>
          <t>0..1</t>
        </is>
      </c>
      <c r="E18" s="7" t="inlineStr">
        <is>
          <t>O</t>
        </is>
      </c>
      <c r="F18" s="4" t="inlineStr">
        <is>
          <t>Despatch advice document.</t>
        </is>
      </c>
      <c r="G18" s="4" t="inlineStr">
        <is>
          <t>Identifier</t>
        </is>
      </c>
      <c r="H18" s="4" t="inlineStr">
        <is>
          <t>DA-330</t>
        </is>
      </c>
      <c r="I18" s="4" t="inlineStr"/>
      <c r="J18" s="4" t="inlineStr"/>
    </row>
    <row r="19">
      <c r="A19" s="4" t="inlineStr">
        <is>
          <t>BT-17</t>
        </is>
      </c>
      <c r="B19" s="4" t="inlineStr">
        <is>
          <t>Invoice header</t>
        </is>
      </c>
      <c r="C19" s="4" t="inlineStr">
        <is>
          <t>Tender or lot reference</t>
        </is>
      </c>
      <c r="D19" s="4" t="inlineStr">
        <is>
          <t>0..1</t>
        </is>
      </c>
      <c r="E19" s="7" t="inlineStr">
        <is>
          <t>O</t>
        </is>
      </c>
      <c r="F19" s="4" t="inlineStr">
        <is>
          <t>Tender/lot reference.</t>
        </is>
      </c>
      <c r="G19" s="4" t="inlineStr">
        <is>
          <t>Identifier</t>
        </is>
      </c>
      <c r="H19" s="4" t="inlineStr">
        <is>
          <t>TND-5</t>
        </is>
      </c>
      <c r="I19" s="4" t="inlineStr"/>
      <c r="J19" s="4" t="inlineStr"/>
    </row>
    <row r="20">
      <c r="A20" s="4" t="inlineStr">
        <is>
          <t>BT-18</t>
        </is>
      </c>
      <c r="B20" s="4" t="inlineStr">
        <is>
          <t>Invoice header</t>
        </is>
      </c>
      <c r="C20" s="4" t="inlineStr">
        <is>
          <t>Invoiced object identifier</t>
        </is>
      </c>
      <c r="D20" s="4" t="inlineStr">
        <is>
          <t>0..1</t>
        </is>
      </c>
      <c r="E20" s="7" t="inlineStr">
        <is>
          <t>O</t>
        </is>
      </c>
      <c r="F20" s="4" t="inlineStr">
        <is>
          <t>Object the invoice is raised on (e.g. asset, ticket).</t>
        </is>
      </c>
      <c r="G20" s="4" t="inlineStr">
        <is>
          <t>Identifier</t>
        </is>
      </c>
      <c r="H20" s="4" t="inlineStr">
        <is>
          <t>VIN123</t>
        </is>
      </c>
      <c r="I20" s="4" t="inlineStr"/>
      <c r="J20" s="4" t="inlineStr"/>
    </row>
    <row r="21">
      <c r="A21" s="4" t="inlineStr">
        <is>
          <t>BT-19</t>
        </is>
      </c>
      <c r="B21" s="4" t="inlineStr">
        <is>
          <t>Invoice header</t>
        </is>
      </c>
      <c r="C21" s="4" t="inlineStr">
        <is>
          <t>Buyer accounting reference</t>
        </is>
      </c>
      <c r="D21" s="4" t="inlineStr">
        <is>
          <t>0..1</t>
        </is>
      </c>
      <c r="E21" s="7" t="inlineStr">
        <is>
          <t>O</t>
        </is>
      </c>
      <c r="F21" s="4" t="inlineStr">
        <is>
          <t>Buyer's accounting code.</t>
        </is>
      </c>
      <c r="G21" s="4" t="inlineStr">
        <is>
          <t>Text</t>
        </is>
      </c>
      <c r="H21" s="4" t="inlineStr">
        <is>
          <t>4500-10</t>
        </is>
      </c>
      <c r="I21" s="4" t="inlineStr"/>
      <c r="J21" s="4" t="inlineStr"/>
    </row>
    <row r="22">
      <c r="A22" s="4" t="inlineStr">
        <is>
          <t>BT-20</t>
        </is>
      </c>
      <c r="B22" s="4" t="inlineStr">
        <is>
          <t>Invoice header</t>
        </is>
      </c>
      <c r="C22" s="4" t="inlineStr">
        <is>
          <t>Payment terms</t>
        </is>
      </c>
      <c r="D22" s="4" t="inlineStr">
        <is>
          <t>0..1</t>
        </is>
      </c>
      <c r="E22" s="7" t="inlineStr">
        <is>
          <t>O</t>
        </is>
      </c>
      <c r="F22" s="4" t="inlineStr">
        <is>
          <t>Free-text payment terms.</t>
        </is>
      </c>
      <c r="G22" s="4" t="inlineStr">
        <is>
          <t>Text</t>
        </is>
      </c>
      <c r="H22" s="4" t="inlineStr">
        <is>
          <t>Net 30 days</t>
        </is>
      </c>
      <c r="I22" s="4" t="inlineStr"/>
      <c r="J22" s="4" t="inlineStr"/>
    </row>
    <row r="23">
      <c r="A23" s="4" t="inlineStr">
        <is>
          <t>BT-21</t>
        </is>
      </c>
      <c r="B23" s="4" t="inlineStr">
        <is>
          <t>Invoice header</t>
        </is>
      </c>
      <c r="C23" s="4" t="inlineStr">
        <is>
          <t>Invoice note subject code</t>
        </is>
      </c>
      <c r="D23" s="4" t="inlineStr">
        <is>
          <t>0..1</t>
        </is>
      </c>
      <c r="E23" s="7" t="inlineStr">
        <is>
          <t>O</t>
        </is>
      </c>
      <c r="F23" s="4" t="inlineStr">
        <is>
          <t>Subject of the note (UNCL4451).</t>
        </is>
      </c>
      <c r="G23" s="4" t="inlineStr">
        <is>
          <t>Code</t>
        </is>
      </c>
      <c r="H23" s="4" t="inlineStr">
        <is>
          <t>AAI</t>
        </is>
      </c>
      <c r="I23" s="4" t="inlineStr"/>
      <c r="J23" s="4" t="inlineStr">
        <is>
          <t>Only with BT-22.</t>
        </is>
      </c>
    </row>
    <row r="24">
      <c r="A24" s="4" t="inlineStr">
        <is>
          <t>BT-22</t>
        </is>
      </c>
      <c r="B24" s="4" t="inlineStr">
        <is>
          <t>Invoice header</t>
        </is>
      </c>
      <c r="C24" s="4" t="inlineStr">
        <is>
          <t>Invoice note</t>
        </is>
      </c>
      <c r="D24" s="4" t="inlineStr">
        <is>
          <t>0..1</t>
        </is>
      </c>
      <c r="E24" s="7" t="inlineStr">
        <is>
          <t>O</t>
        </is>
      </c>
      <c r="F24" s="4" t="inlineStr">
        <is>
          <t>Free-text note.</t>
        </is>
      </c>
      <c r="G24" s="4" t="inlineStr">
        <is>
          <t>Text</t>
        </is>
      </c>
      <c r="H24" s="4" t="inlineStr">
        <is>
          <t>Goods remain property of seller until paid.</t>
        </is>
      </c>
      <c r="I24" s="4" t="inlineStr"/>
      <c r="J24" s="4" t="inlineStr"/>
    </row>
    <row r="25">
      <c r="A25" s="4" t="inlineStr">
        <is>
          <t>BT-25</t>
        </is>
      </c>
      <c r="B25" s="4" t="inlineStr">
        <is>
          <t>BG-3 Preceding invoice reference</t>
        </is>
      </c>
      <c r="C25" s="4" t="inlineStr">
        <is>
          <t>Preceding invoice number</t>
        </is>
      </c>
      <c r="D25" s="4" t="inlineStr">
        <is>
          <t>0..n</t>
        </is>
      </c>
      <c r="E25" s="6" t="inlineStr">
        <is>
          <t>CM</t>
        </is>
      </c>
      <c r="F25" s="4" t="inlineStr">
        <is>
          <t>Number of the invoice being credited/corrected.</t>
        </is>
      </c>
      <c r="G25" s="4" t="inlineStr">
        <is>
          <t>Identifier</t>
        </is>
      </c>
      <c r="H25" s="4" t="inlineStr">
        <is>
          <t>INV-2026-000100</t>
        </is>
      </c>
      <c r="I25" s="4" t="inlineStr">
        <is>
          <t>Must be an invoice previously issued by the same seller.</t>
        </is>
      </c>
      <c r="J25" s="4" t="inlineStr">
        <is>
          <t>Mandatory when BT-3 = 381 or 384.</t>
        </is>
      </c>
    </row>
    <row r="26">
      <c r="A26" s="4" t="inlineStr">
        <is>
          <t>BT-26</t>
        </is>
      </c>
      <c r="B26" s="4" t="inlineStr">
        <is>
          <t>BG-3 Preceding invoice reference</t>
        </is>
      </c>
      <c r="C26" s="4" t="inlineStr">
        <is>
          <t>Preceding invoice issue date</t>
        </is>
      </c>
      <c r="D26" s="4" t="inlineStr">
        <is>
          <t>0..1</t>
        </is>
      </c>
      <c r="E26" s="7" t="inlineStr">
        <is>
          <t>O</t>
        </is>
      </c>
      <c r="F26" s="4" t="inlineStr">
        <is>
          <t>Issue date of the preceding invoice.</t>
        </is>
      </c>
      <c r="G26" s="4" t="inlineStr">
        <is>
          <t>Date YYYY-MM-DD</t>
        </is>
      </c>
      <c r="H26" s="4" t="inlineStr">
        <is>
          <t>2026-09-30</t>
        </is>
      </c>
      <c r="I26" s="4" t="inlineStr">
        <is>
          <t>Not later than BT-2.</t>
        </is>
      </c>
      <c r="J26" s="4" t="inlineStr"/>
    </row>
    <row r="27">
      <c r="A27" s="4" t="inlineStr">
        <is>
          <t>BT-27</t>
        </is>
      </c>
      <c r="B27" s="4" t="inlineStr">
        <is>
          <t>BG-4 Seller</t>
        </is>
      </c>
      <c r="C27" s="4" t="inlineStr">
        <is>
          <t>Seller name</t>
        </is>
      </c>
      <c r="D27" s="4" t="inlineStr">
        <is>
          <t>1..1</t>
        </is>
      </c>
      <c r="E27" s="5" t="inlineStr">
        <is>
          <t>M</t>
        </is>
      </c>
      <c r="F27" s="4" t="inlineStr">
        <is>
          <t>Legal name of the seller.</t>
        </is>
      </c>
      <c r="G27" s="4" t="inlineStr">
        <is>
          <t>Text</t>
        </is>
      </c>
      <c r="H27" s="4" t="inlineStr">
        <is>
          <t>Al Noor Trading LLC</t>
        </is>
      </c>
      <c r="I27" s="4" t="inlineStr">
        <is>
          <t>Non-empty.</t>
        </is>
      </c>
      <c r="J27" s="4" t="inlineStr"/>
    </row>
    <row r="28">
      <c r="A28" s="4" t="inlineStr">
        <is>
          <t>BT-28</t>
        </is>
      </c>
      <c r="B28" s="4" t="inlineStr">
        <is>
          <t>BG-4 Seller</t>
        </is>
      </c>
      <c r="C28" s="4" t="inlineStr">
        <is>
          <t>Seller trading name</t>
        </is>
      </c>
      <c r="D28" s="4" t="inlineStr">
        <is>
          <t>0..1</t>
        </is>
      </c>
      <c r="E28" s="7" t="inlineStr">
        <is>
          <t>O</t>
        </is>
      </c>
      <c r="F28" s="4" t="inlineStr">
        <is>
          <t>Trade name if different.</t>
        </is>
      </c>
      <c r="G28" s="4" t="inlineStr">
        <is>
          <t>Text</t>
        </is>
      </c>
      <c r="H28" s="4" t="inlineStr">
        <is>
          <t>Al Noor</t>
        </is>
      </c>
      <c r="I28" s="4" t="inlineStr"/>
      <c r="J28" s="4" t="inlineStr"/>
    </row>
    <row r="29">
      <c r="A29" s="4" t="inlineStr">
        <is>
          <t>BT-29</t>
        </is>
      </c>
      <c r="B29" s="4" t="inlineStr">
        <is>
          <t>BG-4 Seller</t>
        </is>
      </c>
      <c r="C29" s="4" t="inlineStr">
        <is>
          <t>Seller identifier</t>
        </is>
      </c>
      <c r="D29" s="4" t="inlineStr">
        <is>
          <t>0..n</t>
        </is>
      </c>
      <c r="E29" s="7" t="inlineStr">
        <is>
          <t>O</t>
        </is>
      </c>
      <c r="F29" s="4" t="inlineStr">
        <is>
          <t>Internal/other seller ID.</t>
        </is>
      </c>
      <c r="G29" s="4" t="inlineStr">
        <is>
          <t>Identifier</t>
        </is>
      </c>
      <c r="H29" s="4" t="inlineStr">
        <is>
          <t>SUP-1002</t>
        </is>
      </c>
      <c r="I29" s="4" t="inlineStr"/>
      <c r="J29" s="4" t="inlineStr"/>
    </row>
    <row r="30">
      <c r="A30" s="4" t="inlineStr">
        <is>
          <t>BT-30</t>
        </is>
      </c>
      <c r="B30" s="4" t="inlineStr">
        <is>
          <t>BG-4 Seller</t>
        </is>
      </c>
      <c r="C30" s="4" t="inlineStr">
        <is>
          <t>Seller legal registration identifier</t>
        </is>
      </c>
      <c r="D30" s="4" t="inlineStr">
        <is>
          <t>1..1</t>
        </is>
      </c>
      <c r="E30" s="5" t="inlineStr">
        <is>
          <t>M</t>
        </is>
      </c>
      <c r="F30" s="4" t="inlineStr">
        <is>
          <t>Trade licence / Emirates ID / passport / other legal ID.</t>
        </is>
      </c>
      <c r="G30" s="4" t="inlineStr">
        <is>
          <t>Identifier</t>
        </is>
      </c>
      <c r="H30" s="4" t="inlineStr">
        <is>
          <t>1234567</t>
        </is>
      </c>
      <c r="I30" s="4" t="inlineStr">
        <is>
          <t>Scheme attribute BT-30-1 mandatory: TL Trade licence, EID Emirates ID, PAS Passport, CD Cabinet decision.</t>
        </is>
      </c>
      <c r="J30" s="4" t="inlineStr">
        <is>
          <t>If scheme = TL the issuing emirate is also expected (see BT-39 context).</t>
        </is>
      </c>
    </row>
    <row r="31">
      <c r="A31" s="4" t="inlineStr">
        <is>
          <t>BT-31</t>
        </is>
      </c>
      <c r="B31" s="4" t="inlineStr">
        <is>
          <t>BG-4 Seller</t>
        </is>
      </c>
      <c r="C31" s="4" t="inlineStr">
        <is>
          <t>Seller VAT identifier (TRN)</t>
        </is>
      </c>
      <c r="D31" s="4" t="inlineStr">
        <is>
          <t>1..1</t>
        </is>
      </c>
      <c r="E31" s="5" t="inlineStr">
        <is>
          <t>M</t>
        </is>
      </c>
      <c r="F31" s="4" t="inlineStr">
        <is>
          <t>15-digit Tax Registration Number of the seller.</t>
        </is>
      </c>
      <c r="G31" s="4" t="inlineStr">
        <is>
          <t>Identifier (15 digits)</t>
        </is>
      </c>
      <c r="H31" s="4" t="inlineStr">
        <is>
          <t>100123456700003</t>
        </is>
      </c>
      <c r="I31" s="4" t="inlineStr">
        <is>
          <t>Exactly 15 digits; format 1xxxxxxxxxxxxx3 pattern per FTA; tax scheme VAT.</t>
        </is>
      </c>
      <c r="J31" s="4" t="inlineStr">
        <is>
          <t>Mandatory for a registered taxable person issuing a tax invoice. Not applicable for commercial-invoice profile.</t>
        </is>
      </c>
    </row>
    <row r="32">
      <c r="A32" s="4" t="inlineStr">
        <is>
          <t>BT-32</t>
        </is>
      </c>
      <c r="B32" s="4" t="inlineStr">
        <is>
          <t>BG-4 Seller</t>
        </is>
      </c>
      <c r="C32" s="4" t="inlineStr">
        <is>
          <t>Seller tax registration identifier</t>
        </is>
      </c>
      <c r="D32" s="4" t="inlineStr">
        <is>
          <t>0..1</t>
        </is>
      </c>
      <c r="E32" s="7" t="inlineStr">
        <is>
          <t>O</t>
        </is>
      </c>
      <c r="F32" s="4" t="inlineStr">
        <is>
          <t>Other tax registration id.</t>
        </is>
      </c>
      <c r="G32" s="4" t="inlineStr">
        <is>
          <t>Identifier</t>
        </is>
      </c>
      <c r="H32" s="4" t="inlineStr"/>
      <c r="I32" s="4" t="inlineStr"/>
      <c r="J32" s="4" t="inlineStr"/>
    </row>
    <row r="33">
      <c r="A33" s="4" t="inlineStr">
        <is>
          <t>BT-33</t>
        </is>
      </c>
      <c r="B33" s="4" t="inlineStr">
        <is>
          <t>BG-4 Seller</t>
        </is>
      </c>
      <c r="C33" s="4" t="inlineStr">
        <is>
          <t>Seller additional legal information</t>
        </is>
      </c>
      <c r="D33" s="4" t="inlineStr">
        <is>
          <t>0..1</t>
        </is>
      </c>
      <c r="E33" s="7" t="inlineStr">
        <is>
          <t>O</t>
        </is>
      </c>
      <c r="F33" s="4" t="inlineStr">
        <is>
          <t>Additional legal info (e.g. capital).</t>
        </is>
      </c>
      <c r="G33" s="4" t="inlineStr">
        <is>
          <t>Text</t>
        </is>
      </c>
      <c r="H33" s="4" t="inlineStr"/>
      <c r="I33" s="4" t="inlineStr"/>
      <c r="J33" s="4" t="inlineStr"/>
    </row>
    <row r="34">
      <c r="A34" s="4" t="inlineStr">
        <is>
          <t>BT-34</t>
        </is>
      </c>
      <c r="B34" s="4" t="inlineStr">
        <is>
          <t>BG-4 Seller</t>
        </is>
      </c>
      <c r="C34" s="4" t="inlineStr">
        <is>
          <t>Seller electronic address</t>
        </is>
      </c>
      <c r="D34" s="4" t="inlineStr">
        <is>
          <t>1..1</t>
        </is>
      </c>
      <c r="E34" s="5" t="inlineStr">
        <is>
          <t>M</t>
        </is>
      </c>
      <c r="F34" s="4" t="inlineStr">
        <is>
          <t>Peppol endpoint of the seller; scheme attribute mandatory.</t>
        </is>
      </c>
      <c r="G34" s="4" t="inlineStr">
        <is>
          <t>Identifier</t>
        </is>
      </c>
      <c r="H34" s="4" t="inlineStr">
        <is>
          <t>1234567890123 (scheme 0235)</t>
        </is>
      </c>
      <c r="I34" s="4" t="inlineStr">
        <is>
          <t>Scheme 0235 = UAE TIN-based endpoint; value per Peppol directory.</t>
        </is>
      </c>
      <c r="J34" s="4" t="inlineStr"/>
    </row>
    <row r="35">
      <c r="A35" s="4" t="inlineStr">
        <is>
          <t>BT-35</t>
        </is>
      </c>
      <c r="B35" s="4" t="inlineStr">
        <is>
          <t>BG-4 Seller</t>
        </is>
      </c>
      <c r="C35" s="4" t="inlineStr">
        <is>
          <t>Seller address line 1</t>
        </is>
      </c>
      <c r="D35" s="4" t="inlineStr">
        <is>
          <t>1..1</t>
        </is>
      </c>
      <c r="E35" s="5" t="inlineStr">
        <is>
          <t>M</t>
        </is>
      </c>
      <c r="F35" s="4" t="inlineStr">
        <is>
          <t>Street/building.</t>
        </is>
      </c>
      <c r="G35" s="4" t="inlineStr">
        <is>
          <t>Text</t>
        </is>
      </c>
      <c r="H35" s="4" t="inlineStr">
        <is>
          <t>Office 12, Al Wasl Rd</t>
        </is>
      </c>
      <c r="I35" s="4" t="inlineStr"/>
      <c r="J35" s="4" t="inlineStr"/>
    </row>
    <row r="36">
      <c r="A36" s="4" t="inlineStr">
        <is>
          <t>BT-36</t>
        </is>
      </c>
      <c r="B36" s="4" t="inlineStr">
        <is>
          <t>BG-4 Seller</t>
        </is>
      </c>
      <c r="C36" s="4" t="inlineStr">
        <is>
          <t>Seller address line 2</t>
        </is>
      </c>
      <c r="D36" s="4" t="inlineStr">
        <is>
          <t>0..1</t>
        </is>
      </c>
      <c r="E36" s="7" t="inlineStr">
        <is>
          <t>O</t>
        </is>
      </c>
      <c r="F36" s="4" t="inlineStr">
        <is>
          <t>Additional address.</t>
        </is>
      </c>
      <c r="G36" s="4" t="inlineStr">
        <is>
          <t>Text</t>
        </is>
      </c>
      <c r="H36" s="4" t="inlineStr">
        <is>
          <t>Jumeirah 1</t>
        </is>
      </c>
      <c r="I36" s="4" t="inlineStr"/>
      <c r="J36" s="4" t="inlineStr"/>
    </row>
    <row r="37">
      <c r="A37" s="4" t="inlineStr">
        <is>
          <t>BT-162</t>
        </is>
      </c>
      <c r="B37" s="4" t="inlineStr">
        <is>
          <t>BG-4 Seller</t>
        </is>
      </c>
      <c r="C37" s="4" t="inlineStr">
        <is>
          <t>Seller address line 3</t>
        </is>
      </c>
      <c r="D37" s="4" t="inlineStr">
        <is>
          <t>0..1</t>
        </is>
      </c>
      <c r="E37" s="7" t="inlineStr">
        <is>
          <t>O</t>
        </is>
      </c>
      <c r="F37" s="4" t="inlineStr">
        <is>
          <t>Additional address.</t>
        </is>
      </c>
      <c r="G37" s="4" t="inlineStr">
        <is>
          <t>Text</t>
        </is>
      </c>
      <c r="H37" s="4" t="inlineStr"/>
      <c r="I37" s="4" t="inlineStr"/>
      <c r="J37" s="4" t="inlineStr"/>
    </row>
    <row r="38">
      <c r="A38" s="4" t="inlineStr">
        <is>
          <t>BT-37</t>
        </is>
      </c>
      <c r="B38" s="4" t="inlineStr">
        <is>
          <t>BG-4 Seller</t>
        </is>
      </c>
      <c r="C38" s="4" t="inlineStr">
        <is>
          <t>Seller city</t>
        </is>
      </c>
      <c r="D38" s="4" t="inlineStr">
        <is>
          <t>1..1</t>
        </is>
      </c>
      <c r="E38" s="5" t="inlineStr">
        <is>
          <t>M</t>
        </is>
      </c>
      <c r="F38" s="4" t="inlineStr">
        <is>
          <t>City.</t>
        </is>
      </c>
      <c r="G38" s="4" t="inlineStr">
        <is>
          <t>Text</t>
        </is>
      </c>
      <c r="H38" s="4" t="inlineStr">
        <is>
          <t>Dubai</t>
        </is>
      </c>
      <c r="I38" s="4" t="inlineStr"/>
      <c r="J38" s="4" t="inlineStr"/>
    </row>
    <row r="39">
      <c r="A39" s="4" t="inlineStr">
        <is>
          <t>BT-38</t>
        </is>
      </c>
      <c r="B39" s="4" t="inlineStr">
        <is>
          <t>BG-4 Seller</t>
        </is>
      </c>
      <c r="C39" s="4" t="inlineStr">
        <is>
          <t>Seller post code</t>
        </is>
      </c>
      <c r="D39" s="4" t="inlineStr">
        <is>
          <t>0..1</t>
        </is>
      </c>
      <c r="E39" s="7" t="inlineStr">
        <is>
          <t>O</t>
        </is>
      </c>
      <c r="F39" s="4" t="inlineStr">
        <is>
          <t>Postal code.</t>
        </is>
      </c>
      <c r="G39" s="4" t="inlineStr">
        <is>
          <t>Text</t>
        </is>
      </c>
      <c r="H39" s="4" t="inlineStr">
        <is>
          <t>00000</t>
        </is>
      </c>
      <c r="I39" s="4" t="inlineStr"/>
      <c r="J39" s="4" t="inlineStr"/>
    </row>
    <row r="40">
      <c r="A40" s="4" t="inlineStr">
        <is>
          <t>BT-39</t>
        </is>
      </c>
      <c r="B40" s="4" t="inlineStr">
        <is>
          <t>BG-4 Seller</t>
        </is>
      </c>
      <c r="C40" s="4" t="inlineStr">
        <is>
          <t>Seller country subdivision (Emirate)</t>
        </is>
      </c>
      <c r="D40" s="4" t="inlineStr">
        <is>
          <t>1..1</t>
        </is>
      </c>
      <c r="E40" s="5" t="inlineStr">
        <is>
          <t>M</t>
        </is>
      </c>
      <c r="F40" s="4" t="inlineStr">
        <is>
          <t>Emirate code.</t>
        </is>
      </c>
      <c r="G40" s="4" t="inlineStr">
        <is>
          <t>Code</t>
        </is>
      </c>
      <c r="H40" s="4" t="inlineStr">
        <is>
          <t>DXB</t>
        </is>
      </c>
      <c r="I40" s="4" t="inlineStr">
        <is>
          <t>One of AUH, AJM, DXB, FUJ, RAK, SHJ, UAQ.</t>
        </is>
      </c>
      <c r="J40" s="4" t="inlineStr"/>
    </row>
    <row r="41">
      <c r="A41" s="4" t="inlineStr">
        <is>
          <t>BT-40</t>
        </is>
      </c>
      <c r="B41" s="4" t="inlineStr">
        <is>
          <t>BG-4 Seller</t>
        </is>
      </c>
      <c r="C41" s="4" t="inlineStr">
        <is>
          <t>Seller country code</t>
        </is>
      </c>
      <c r="D41" s="4" t="inlineStr">
        <is>
          <t>1..1</t>
        </is>
      </c>
      <c r="E41" s="5" t="inlineStr">
        <is>
          <t>M</t>
        </is>
      </c>
      <c r="F41" s="4" t="inlineStr">
        <is>
          <t>Country.</t>
        </is>
      </c>
      <c r="G41" s="4" t="inlineStr">
        <is>
          <t>Code (ISO 3166-1 alpha-2)</t>
        </is>
      </c>
      <c r="H41" s="4" t="inlineStr">
        <is>
          <t>AE</t>
        </is>
      </c>
      <c r="I41" s="4" t="inlineStr">
        <is>
          <t>Must be AE for UAE seller.</t>
        </is>
      </c>
      <c r="J41" s="4" t="inlineStr"/>
    </row>
    <row r="42">
      <c r="A42" s="4" t="inlineStr">
        <is>
          <t>BT-41</t>
        </is>
      </c>
      <c r="B42" s="4" t="inlineStr">
        <is>
          <t>BG-4 Seller</t>
        </is>
      </c>
      <c r="C42" s="4" t="inlineStr">
        <is>
          <t>Seller contact point</t>
        </is>
      </c>
      <c r="D42" s="4" t="inlineStr">
        <is>
          <t>0..1</t>
        </is>
      </c>
      <c r="E42" s="7" t="inlineStr">
        <is>
          <t>O</t>
        </is>
      </c>
      <c r="F42" s="4" t="inlineStr">
        <is>
          <t>Contact name.</t>
        </is>
      </c>
      <c r="G42" s="4" t="inlineStr">
        <is>
          <t>Text</t>
        </is>
      </c>
      <c r="H42" s="4" t="inlineStr">
        <is>
          <t>Finance Desk</t>
        </is>
      </c>
      <c r="I42" s="4" t="inlineStr"/>
      <c r="J42" s="4" t="inlineStr"/>
    </row>
    <row r="43">
      <c r="A43" s="4" t="inlineStr">
        <is>
          <t>BT-42</t>
        </is>
      </c>
      <c r="B43" s="4" t="inlineStr">
        <is>
          <t>BG-4 Seller</t>
        </is>
      </c>
      <c r="C43" s="4" t="inlineStr">
        <is>
          <t>Seller contact phone</t>
        </is>
      </c>
      <c r="D43" s="4" t="inlineStr">
        <is>
          <t>0..1</t>
        </is>
      </c>
      <c r="E43" s="7" t="inlineStr">
        <is>
          <t>O</t>
        </is>
      </c>
      <c r="F43" s="4" t="inlineStr">
        <is>
          <t>Phone.</t>
        </is>
      </c>
      <c r="G43" s="4" t="inlineStr">
        <is>
          <t>Text</t>
        </is>
      </c>
      <c r="H43" s="4" t="inlineStr">
        <is>
          <t>+97141234567</t>
        </is>
      </c>
      <c r="I43" s="4" t="inlineStr"/>
      <c r="J43" s="4" t="inlineStr"/>
    </row>
    <row r="44">
      <c r="A44" s="4" t="inlineStr">
        <is>
          <t>BT-43</t>
        </is>
      </c>
      <c r="B44" s="4" t="inlineStr">
        <is>
          <t>BG-4 Seller</t>
        </is>
      </c>
      <c r="C44" s="4" t="inlineStr">
        <is>
          <t>Seller contact email</t>
        </is>
      </c>
      <c r="D44" s="4" t="inlineStr">
        <is>
          <t>0..1</t>
        </is>
      </c>
      <c r="E44" s="7" t="inlineStr">
        <is>
          <t>O</t>
        </is>
      </c>
      <c r="F44" s="4" t="inlineStr">
        <is>
          <t>Email.</t>
        </is>
      </c>
      <c r="G44" s="4" t="inlineStr">
        <is>
          <t>Text</t>
        </is>
      </c>
      <c r="H44" s="4" t="inlineStr">
        <is>
          <t>ar@alnoor.ae</t>
        </is>
      </c>
      <c r="I44" s="4" t="inlineStr">
        <is>
          <t>Valid email syntax.</t>
        </is>
      </c>
      <c r="J44" s="4" t="inlineStr"/>
    </row>
    <row r="45">
      <c r="A45" s="4" t="inlineStr">
        <is>
          <t>BT-44</t>
        </is>
      </c>
      <c r="B45" s="4" t="inlineStr">
        <is>
          <t>BG-7 Buyer</t>
        </is>
      </c>
      <c r="C45" s="4" t="inlineStr">
        <is>
          <t>Buyer name</t>
        </is>
      </c>
      <c r="D45" s="4" t="inlineStr">
        <is>
          <t>1..1</t>
        </is>
      </c>
      <c r="E45" s="5" t="inlineStr">
        <is>
          <t>M</t>
        </is>
      </c>
      <c r="F45" s="4" t="inlineStr">
        <is>
          <t>Legal name of buyer.</t>
        </is>
      </c>
      <c r="G45" s="4" t="inlineStr">
        <is>
          <t>Text</t>
        </is>
      </c>
      <c r="H45" s="4" t="inlineStr">
        <is>
          <t>Emirates Retail PJSC</t>
        </is>
      </c>
      <c r="I45" s="4" t="inlineStr"/>
      <c r="J45" s="4" t="inlineStr"/>
    </row>
    <row r="46">
      <c r="A46" s="4" t="inlineStr">
        <is>
          <t>BT-45</t>
        </is>
      </c>
      <c r="B46" s="4" t="inlineStr">
        <is>
          <t>BG-7 Buyer</t>
        </is>
      </c>
      <c r="C46" s="4" t="inlineStr">
        <is>
          <t>Buyer trading name</t>
        </is>
      </c>
      <c r="D46" s="4" t="inlineStr">
        <is>
          <t>0..1</t>
        </is>
      </c>
      <c r="E46" s="7" t="inlineStr">
        <is>
          <t>O</t>
        </is>
      </c>
      <c r="F46" s="4" t="inlineStr">
        <is>
          <t>Trade name.</t>
        </is>
      </c>
      <c r="G46" s="4" t="inlineStr">
        <is>
          <t>Text</t>
        </is>
      </c>
      <c r="H46" s="4" t="inlineStr"/>
      <c r="I46" s="4" t="inlineStr"/>
      <c r="J46" s="4" t="inlineStr"/>
    </row>
    <row r="47">
      <c r="A47" s="4" t="inlineStr">
        <is>
          <t>BT-46</t>
        </is>
      </c>
      <c r="B47" s="4" t="inlineStr">
        <is>
          <t>BG-7 Buyer</t>
        </is>
      </c>
      <c r="C47" s="4" t="inlineStr">
        <is>
          <t>Buyer identifier</t>
        </is>
      </c>
      <c r="D47" s="4" t="inlineStr">
        <is>
          <t>0..1</t>
        </is>
      </c>
      <c r="E47" s="7" t="inlineStr">
        <is>
          <t>O</t>
        </is>
      </c>
      <c r="F47" s="4" t="inlineStr">
        <is>
          <t>Internal/other buyer ID.</t>
        </is>
      </c>
      <c r="G47" s="4" t="inlineStr">
        <is>
          <t>Identifier</t>
        </is>
      </c>
      <c r="H47" s="4" t="inlineStr">
        <is>
          <t>CUST-88</t>
        </is>
      </c>
      <c r="I47" s="4" t="inlineStr"/>
      <c r="J47" s="4" t="inlineStr"/>
    </row>
    <row r="48">
      <c r="A48" s="4" t="inlineStr">
        <is>
          <t>BT-47</t>
        </is>
      </c>
      <c r="B48" s="4" t="inlineStr">
        <is>
          <t>BG-7 Buyer</t>
        </is>
      </c>
      <c r="C48" s="4" t="inlineStr">
        <is>
          <t>Buyer legal registration identifier</t>
        </is>
      </c>
      <c r="D48" s="4" t="inlineStr">
        <is>
          <t>0..1</t>
        </is>
      </c>
      <c r="E48" s="6" t="inlineStr">
        <is>
          <t>CM</t>
        </is>
      </c>
      <c r="F48" s="4" t="inlineStr">
        <is>
          <t>Trade licence / EID / passport / other ID, with scheme (BT-47-1).</t>
        </is>
      </c>
      <c r="G48" s="4" t="inlineStr">
        <is>
          <t>Identifier</t>
        </is>
      </c>
      <c r="H48" s="4" t="inlineStr">
        <is>
          <t>7654321</t>
        </is>
      </c>
      <c r="I48" s="4" t="inlineStr">
        <is>
          <t>Scheme: TL, EID, PAS, CD.</t>
        </is>
      </c>
      <c r="J48" s="4" t="inlineStr">
        <is>
          <t>Mandatory for B2B/B2G tax invoices where buyer is a business. Optional for B2C.</t>
        </is>
      </c>
    </row>
    <row r="49">
      <c r="A49" s="4" t="inlineStr">
        <is>
          <t>BT-48</t>
        </is>
      </c>
      <c r="B49" s="4" t="inlineStr">
        <is>
          <t>BG-7 Buyer</t>
        </is>
      </c>
      <c r="C49" s="4" t="inlineStr">
        <is>
          <t>Buyer VAT identifier (TRN)</t>
        </is>
      </c>
      <c r="D49" s="4" t="inlineStr">
        <is>
          <t>0..1</t>
        </is>
      </c>
      <c r="E49" s="6" t="inlineStr">
        <is>
          <t>CM</t>
        </is>
      </c>
      <c r="F49" s="4" t="inlineStr">
        <is>
          <t>15-digit TRN of buyer.</t>
        </is>
      </c>
      <c r="G49" s="4" t="inlineStr">
        <is>
          <t>Identifier (15 digits)</t>
        </is>
      </c>
      <c r="H49" s="4" t="inlineStr">
        <is>
          <t>100765432100003</t>
        </is>
      </c>
      <c r="I49" s="4" t="inlineStr">
        <is>
          <t>Exactly 15 digits.</t>
        </is>
      </c>
      <c r="J49" s="4" t="inlineStr">
        <is>
          <t>Mandatory when buyer is VAT-registered (B2B). Not required for B2C or non-registered buyer.</t>
        </is>
      </c>
    </row>
    <row r="50">
      <c r="A50" s="4" t="inlineStr">
        <is>
          <t>BT-49</t>
        </is>
      </c>
      <c r="B50" s="4" t="inlineStr">
        <is>
          <t>BG-7 Buyer</t>
        </is>
      </c>
      <c r="C50" s="4" t="inlineStr">
        <is>
          <t>Buyer electronic address</t>
        </is>
      </c>
      <c r="D50" s="4" t="inlineStr">
        <is>
          <t>1..1</t>
        </is>
      </c>
      <c r="E50" s="5" t="inlineStr">
        <is>
          <t>M</t>
        </is>
      </c>
      <c r="F50" s="4" t="inlineStr">
        <is>
          <t>Peppol endpoint of buyer; scheme attribute mandatory.</t>
        </is>
      </c>
      <c r="G50" s="4" t="inlineStr">
        <is>
          <t>Identifier</t>
        </is>
      </c>
      <c r="H50" s="4" t="inlineStr">
        <is>
          <t>7654321098765 (scheme 0235)</t>
        </is>
      </c>
      <c r="I50" s="4" t="inlineStr"/>
      <c r="J50" s="4" t="inlineStr">
        <is>
          <t>For B2C or non-Peppol buyers the FTA-prescribed placeholder/ID applies.</t>
        </is>
      </c>
    </row>
    <row r="51">
      <c r="A51" s="4" t="inlineStr">
        <is>
          <t>BT-50</t>
        </is>
      </c>
      <c r="B51" s="4" t="inlineStr">
        <is>
          <t>BG-7 Buyer</t>
        </is>
      </c>
      <c r="C51" s="4" t="inlineStr">
        <is>
          <t>Buyer address line 1</t>
        </is>
      </c>
      <c r="D51" s="4" t="inlineStr">
        <is>
          <t>1..1</t>
        </is>
      </c>
      <c r="E51" s="5" t="inlineStr">
        <is>
          <t>M</t>
        </is>
      </c>
      <c r="F51" s="4" t="inlineStr">
        <is>
          <t>Street/building.</t>
        </is>
      </c>
      <c r="G51" s="4" t="inlineStr">
        <is>
          <t>Text</t>
        </is>
      </c>
      <c r="H51" s="4" t="inlineStr">
        <is>
          <t>Tower B, SZR</t>
        </is>
      </c>
      <c r="I51" s="4" t="inlineStr"/>
      <c r="J51" s="4" t="inlineStr"/>
    </row>
    <row r="52">
      <c r="A52" s="4" t="inlineStr">
        <is>
          <t>BT-51</t>
        </is>
      </c>
      <c r="B52" s="4" t="inlineStr">
        <is>
          <t>BG-7 Buyer</t>
        </is>
      </c>
      <c r="C52" s="4" t="inlineStr">
        <is>
          <t>Buyer address line 2</t>
        </is>
      </c>
      <c r="D52" s="4" t="inlineStr">
        <is>
          <t>0..1</t>
        </is>
      </c>
      <c r="E52" s="7" t="inlineStr">
        <is>
          <t>O</t>
        </is>
      </c>
      <c r="F52" s="4" t="inlineStr"/>
      <c r="G52" s="4" t="inlineStr">
        <is>
          <t>Text</t>
        </is>
      </c>
      <c r="H52" s="4" t="inlineStr"/>
      <c r="I52" s="4" t="inlineStr"/>
      <c r="J52" s="4" t="inlineStr"/>
    </row>
    <row r="53">
      <c r="A53" s="4" t="inlineStr">
        <is>
          <t>BT-163</t>
        </is>
      </c>
      <c r="B53" s="4" t="inlineStr">
        <is>
          <t>BG-7 Buyer</t>
        </is>
      </c>
      <c r="C53" s="4" t="inlineStr">
        <is>
          <t>Buyer address line 3</t>
        </is>
      </c>
      <c r="D53" s="4" t="inlineStr">
        <is>
          <t>0..1</t>
        </is>
      </c>
      <c r="E53" s="7" t="inlineStr">
        <is>
          <t>O</t>
        </is>
      </c>
      <c r="F53" s="4" t="inlineStr"/>
      <c r="G53" s="4" t="inlineStr">
        <is>
          <t>Text</t>
        </is>
      </c>
      <c r="H53" s="4" t="inlineStr"/>
      <c r="I53" s="4" t="inlineStr"/>
      <c r="J53" s="4" t="inlineStr"/>
    </row>
    <row r="54">
      <c r="A54" s="4" t="inlineStr">
        <is>
          <t>BT-52</t>
        </is>
      </c>
      <c r="B54" s="4" t="inlineStr">
        <is>
          <t>BG-7 Buyer</t>
        </is>
      </c>
      <c r="C54" s="4" t="inlineStr">
        <is>
          <t>Buyer city</t>
        </is>
      </c>
      <c r="D54" s="4" t="inlineStr">
        <is>
          <t>1..1</t>
        </is>
      </c>
      <c r="E54" s="5" t="inlineStr">
        <is>
          <t>M</t>
        </is>
      </c>
      <c r="F54" s="4" t="inlineStr">
        <is>
          <t>City.</t>
        </is>
      </c>
      <c r="G54" s="4" t="inlineStr">
        <is>
          <t>Text</t>
        </is>
      </c>
      <c r="H54" s="4" t="inlineStr">
        <is>
          <t>Abu Dhabi</t>
        </is>
      </c>
      <c r="I54" s="4" t="inlineStr"/>
      <c r="J54" s="4" t="inlineStr"/>
    </row>
    <row r="55">
      <c r="A55" s="4" t="inlineStr">
        <is>
          <t>BT-53</t>
        </is>
      </c>
      <c r="B55" s="4" t="inlineStr">
        <is>
          <t>BG-7 Buyer</t>
        </is>
      </c>
      <c r="C55" s="4" t="inlineStr">
        <is>
          <t>Buyer post code</t>
        </is>
      </c>
      <c r="D55" s="4" t="inlineStr">
        <is>
          <t>0..1</t>
        </is>
      </c>
      <c r="E55" s="7" t="inlineStr">
        <is>
          <t>O</t>
        </is>
      </c>
      <c r="F55" s="4" t="inlineStr"/>
      <c r="G55" s="4" t="inlineStr">
        <is>
          <t>Text</t>
        </is>
      </c>
      <c r="H55" s="4" t="inlineStr"/>
      <c r="I55" s="4" t="inlineStr"/>
      <c r="J55" s="4" t="inlineStr"/>
    </row>
    <row r="56">
      <c r="A56" s="4" t="inlineStr">
        <is>
          <t>BT-54</t>
        </is>
      </c>
      <c r="B56" s="4" t="inlineStr">
        <is>
          <t>BG-7 Buyer</t>
        </is>
      </c>
      <c r="C56" s="4" t="inlineStr">
        <is>
          <t>Buyer country subdivision (Emirate)</t>
        </is>
      </c>
      <c r="D56" s="4" t="inlineStr">
        <is>
          <t>1..1</t>
        </is>
      </c>
      <c r="E56" s="5" t="inlineStr">
        <is>
          <t>M</t>
        </is>
      </c>
      <c r="F56" s="4" t="inlineStr">
        <is>
          <t>Emirate code for UAE buyers.</t>
        </is>
      </c>
      <c r="G56" s="4" t="inlineStr">
        <is>
          <t>Code</t>
        </is>
      </c>
      <c r="H56" s="4" t="inlineStr">
        <is>
          <t>AUH</t>
        </is>
      </c>
      <c r="I56" s="4" t="inlineStr">
        <is>
          <t>AUH, AJM, DXB, FUJ, RAK, SHJ, UAQ.</t>
        </is>
      </c>
      <c r="J56" s="4" t="inlineStr">
        <is>
          <t>For non-UAE buyers (exports) free subdivision allowed.</t>
        </is>
      </c>
    </row>
    <row r="57">
      <c r="A57" s="4" t="inlineStr">
        <is>
          <t>BT-55</t>
        </is>
      </c>
      <c r="B57" s="4" t="inlineStr">
        <is>
          <t>BG-7 Buyer</t>
        </is>
      </c>
      <c r="C57" s="4" t="inlineStr">
        <is>
          <t>Buyer country code</t>
        </is>
      </c>
      <c r="D57" s="4" t="inlineStr">
        <is>
          <t>1..1</t>
        </is>
      </c>
      <c r="E57" s="5" t="inlineStr">
        <is>
          <t>M</t>
        </is>
      </c>
      <c r="F57" s="4" t="inlineStr">
        <is>
          <t>Country.</t>
        </is>
      </c>
      <c r="G57" s="4" t="inlineStr">
        <is>
          <t>Code (ISO 3166-1 alpha-2)</t>
        </is>
      </c>
      <c r="H57" s="4" t="inlineStr">
        <is>
          <t>AE</t>
        </is>
      </c>
      <c r="I57" s="4" t="inlineStr">
        <is>
          <t>ISO 3166-1 alpha-2.</t>
        </is>
      </c>
      <c r="J57" s="4" t="inlineStr">
        <is>
          <t>BTAE-02 pos 8 (export) = 1 implies BT-55 &lt;&gt; AE.</t>
        </is>
      </c>
    </row>
    <row r="58">
      <c r="A58" s="4" t="inlineStr">
        <is>
          <t>BT-56</t>
        </is>
      </c>
      <c r="B58" s="4" t="inlineStr">
        <is>
          <t>BG-7 Buyer</t>
        </is>
      </c>
      <c r="C58" s="4" t="inlineStr">
        <is>
          <t>Buyer contact point</t>
        </is>
      </c>
      <c r="D58" s="4" t="inlineStr">
        <is>
          <t>0..1</t>
        </is>
      </c>
      <c r="E58" s="7" t="inlineStr">
        <is>
          <t>O</t>
        </is>
      </c>
      <c r="F58" s="4" t="inlineStr"/>
      <c r="G58" s="4" t="inlineStr">
        <is>
          <t>Text</t>
        </is>
      </c>
      <c r="H58" s="4" t="inlineStr"/>
      <c r="I58" s="4" t="inlineStr"/>
      <c r="J58" s="4" t="inlineStr"/>
    </row>
    <row r="59">
      <c r="A59" s="4" t="inlineStr">
        <is>
          <t>BT-57</t>
        </is>
      </c>
      <c r="B59" s="4" t="inlineStr">
        <is>
          <t>BG-7 Buyer</t>
        </is>
      </c>
      <c r="C59" s="4" t="inlineStr">
        <is>
          <t>Buyer contact phone</t>
        </is>
      </c>
      <c r="D59" s="4" t="inlineStr">
        <is>
          <t>0..1</t>
        </is>
      </c>
      <c r="E59" s="7" t="inlineStr">
        <is>
          <t>O</t>
        </is>
      </c>
      <c r="F59" s="4" t="inlineStr"/>
      <c r="G59" s="4" t="inlineStr">
        <is>
          <t>Text</t>
        </is>
      </c>
      <c r="H59" s="4" t="inlineStr"/>
      <c r="I59" s="4" t="inlineStr"/>
      <c r="J59" s="4" t="inlineStr"/>
    </row>
    <row r="60">
      <c r="A60" s="4" t="inlineStr">
        <is>
          <t>BT-58</t>
        </is>
      </c>
      <c r="B60" s="4" t="inlineStr">
        <is>
          <t>BG-7 Buyer</t>
        </is>
      </c>
      <c r="C60" s="4" t="inlineStr">
        <is>
          <t>Buyer contact email</t>
        </is>
      </c>
      <c r="D60" s="4" t="inlineStr">
        <is>
          <t>0..1</t>
        </is>
      </c>
      <c r="E60" s="7" t="inlineStr">
        <is>
          <t>O</t>
        </is>
      </c>
      <c r="F60" s="4" t="inlineStr"/>
      <c r="G60" s="4" t="inlineStr">
        <is>
          <t>Text</t>
        </is>
      </c>
      <c r="H60" s="4" t="inlineStr"/>
      <c r="I60" s="4" t="inlineStr"/>
      <c r="J60" s="4" t="inlineStr"/>
    </row>
    <row r="61">
      <c r="A61" s="4" t="inlineStr">
        <is>
          <t>BT-59</t>
        </is>
      </c>
      <c r="B61" s="4" t="inlineStr">
        <is>
          <t>BG-10 Payee</t>
        </is>
      </c>
      <c r="C61" s="4" t="inlineStr">
        <is>
          <t>Payee name</t>
        </is>
      </c>
      <c r="D61" s="4" t="inlineStr">
        <is>
          <t>0..1</t>
        </is>
      </c>
      <c r="E61" s="6" t="inlineStr">
        <is>
          <t>CM</t>
        </is>
      </c>
      <c r="F61" s="4" t="inlineStr">
        <is>
          <t>Name of payee if different from seller.</t>
        </is>
      </c>
      <c r="G61" s="4" t="inlineStr">
        <is>
          <t>Text</t>
        </is>
      </c>
      <c r="H61" s="4" t="inlineStr">
        <is>
          <t>Factoring Co LLC</t>
        </is>
      </c>
      <c r="I61" s="4" t="inlineStr"/>
      <c r="J61" s="4" t="inlineStr">
        <is>
          <t>Mandatory if payee group is present.</t>
        </is>
      </c>
    </row>
    <row r="62">
      <c r="A62" s="4" t="inlineStr">
        <is>
          <t>BT-60</t>
        </is>
      </c>
      <c r="B62" s="4" t="inlineStr">
        <is>
          <t>BG-10 Payee</t>
        </is>
      </c>
      <c r="C62" s="4" t="inlineStr">
        <is>
          <t>Payee identifier</t>
        </is>
      </c>
      <c r="D62" s="4" t="inlineStr">
        <is>
          <t>0..1</t>
        </is>
      </c>
      <c r="E62" s="7" t="inlineStr">
        <is>
          <t>O</t>
        </is>
      </c>
      <c r="F62" s="4" t="inlineStr"/>
      <c r="G62" s="4" t="inlineStr">
        <is>
          <t>Identifier</t>
        </is>
      </c>
      <c r="H62" s="4" t="inlineStr"/>
      <c r="I62" s="4" t="inlineStr"/>
      <c r="J62" s="4" t="inlineStr"/>
    </row>
    <row r="63">
      <c r="A63" s="4" t="inlineStr">
        <is>
          <t>BT-61</t>
        </is>
      </c>
      <c r="B63" s="4" t="inlineStr">
        <is>
          <t>BG-10 Payee</t>
        </is>
      </c>
      <c r="C63" s="4" t="inlineStr">
        <is>
          <t>Payee legal registration identifier</t>
        </is>
      </c>
      <c r="D63" s="4" t="inlineStr">
        <is>
          <t>0..1</t>
        </is>
      </c>
      <c r="E63" s="7" t="inlineStr">
        <is>
          <t>O</t>
        </is>
      </c>
      <c r="F63" s="4" t="inlineStr"/>
      <c r="G63" s="4" t="inlineStr">
        <is>
          <t>Identifier</t>
        </is>
      </c>
      <c r="H63" s="4" t="inlineStr"/>
      <c r="I63" s="4" t="inlineStr"/>
      <c r="J63" s="4" t="inlineStr"/>
    </row>
    <row r="64">
      <c r="A64" s="4" t="inlineStr">
        <is>
          <t>BT-62</t>
        </is>
      </c>
      <c r="B64" s="4" t="inlineStr">
        <is>
          <t>BG-11 Seller tax representative</t>
        </is>
      </c>
      <c r="C64" s="4" t="inlineStr">
        <is>
          <t>Tax representative name</t>
        </is>
      </c>
      <c r="D64" s="4" t="inlineStr">
        <is>
          <t>0..1</t>
        </is>
      </c>
      <c r="E64" s="6" t="inlineStr">
        <is>
          <t>CM</t>
        </is>
      </c>
      <c r="F64" s="4" t="inlineStr">
        <is>
          <t>Name of seller's tax representative.</t>
        </is>
      </c>
      <c r="G64" s="4" t="inlineStr">
        <is>
          <t>Text</t>
        </is>
      </c>
      <c r="H64" s="4" t="inlineStr">
        <is>
          <t>Tax Rep LLC</t>
        </is>
      </c>
      <c r="I64" s="4" t="inlineStr"/>
      <c r="J64" s="4" t="inlineStr">
        <is>
          <t>Mandatory if BG-11 is present.</t>
        </is>
      </c>
    </row>
    <row r="65">
      <c r="A65" s="4" t="inlineStr">
        <is>
          <t>BT-63</t>
        </is>
      </c>
      <c r="B65" s="4" t="inlineStr">
        <is>
          <t>BG-11 Seller tax representative</t>
        </is>
      </c>
      <c r="C65" s="4" t="inlineStr">
        <is>
          <t>Tax representative VAT identifier</t>
        </is>
      </c>
      <c r="D65" s="4" t="inlineStr">
        <is>
          <t>0..1</t>
        </is>
      </c>
      <c r="E65" s="6" t="inlineStr">
        <is>
          <t>CM</t>
        </is>
      </c>
      <c r="F65" s="4" t="inlineStr">
        <is>
          <t>TRN of tax representative.</t>
        </is>
      </c>
      <c r="G65" s="4" t="inlineStr">
        <is>
          <t>Identifier</t>
        </is>
      </c>
      <c r="H65" s="4" t="inlineStr">
        <is>
          <t>100999999900003</t>
        </is>
      </c>
      <c r="I65" s="4" t="inlineStr">
        <is>
          <t>15 digits.</t>
        </is>
      </c>
      <c r="J65" s="4" t="inlineStr">
        <is>
          <t>Mandatory if BG-11 is present.</t>
        </is>
      </c>
    </row>
    <row r="66">
      <c r="A66" s="4" t="inlineStr">
        <is>
          <t>BT-64</t>
        </is>
      </c>
      <c r="B66" s="4" t="inlineStr">
        <is>
          <t>BG-11 Seller tax representative</t>
        </is>
      </c>
      <c r="C66" s="4" t="inlineStr">
        <is>
          <t>Tax rep. address line 1</t>
        </is>
      </c>
      <c r="D66" s="4" t="inlineStr">
        <is>
          <t>0..1</t>
        </is>
      </c>
      <c r="E66" s="6" t="inlineStr">
        <is>
          <t>CM</t>
        </is>
      </c>
      <c r="F66" s="4" t="inlineStr"/>
      <c r="G66" s="4" t="inlineStr">
        <is>
          <t>Text</t>
        </is>
      </c>
      <c r="H66" s="4" t="inlineStr"/>
      <c r="I66" s="4" t="inlineStr"/>
      <c r="J66" s="4" t="inlineStr">
        <is>
          <t>Mandatory if BG-11 is present.</t>
        </is>
      </c>
    </row>
    <row r="67">
      <c r="A67" s="4" t="inlineStr">
        <is>
          <t>BT-65</t>
        </is>
      </c>
      <c r="B67" s="4" t="inlineStr">
        <is>
          <t>BG-11 Seller tax representative</t>
        </is>
      </c>
      <c r="C67" s="4" t="inlineStr">
        <is>
          <t>Tax rep. address line 2</t>
        </is>
      </c>
      <c r="D67" s="4" t="inlineStr">
        <is>
          <t>0..1</t>
        </is>
      </c>
      <c r="E67" s="7" t="inlineStr">
        <is>
          <t>O</t>
        </is>
      </c>
      <c r="F67" s="4" t="inlineStr"/>
      <c r="G67" s="4" t="inlineStr">
        <is>
          <t>Text</t>
        </is>
      </c>
      <c r="H67" s="4" t="inlineStr"/>
      <c r="I67" s="4" t="inlineStr"/>
      <c r="J67" s="4" t="inlineStr"/>
    </row>
    <row r="68">
      <c r="A68" s="4" t="inlineStr">
        <is>
          <t>BT-164</t>
        </is>
      </c>
      <c r="B68" s="4" t="inlineStr">
        <is>
          <t>BG-11 Seller tax representative</t>
        </is>
      </c>
      <c r="C68" s="4" t="inlineStr">
        <is>
          <t>Tax rep. address line 3</t>
        </is>
      </c>
      <c r="D68" s="4" t="inlineStr">
        <is>
          <t>0..1</t>
        </is>
      </c>
      <c r="E68" s="7" t="inlineStr">
        <is>
          <t>O</t>
        </is>
      </c>
      <c r="F68" s="4" t="inlineStr"/>
      <c r="G68" s="4" t="inlineStr">
        <is>
          <t>Text</t>
        </is>
      </c>
      <c r="H68" s="4" t="inlineStr"/>
      <c r="I68" s="4" t="inlineStr"/>
      <c r="J68" s="4" t="inlineStr"/>
    </row>
    <row r="69">
      <c r="A69" s="4" t="inlineStr">
        <is>
          <t>BT-66</t>
        </is>
      </c>
      <c r="B69" s="4" t="inlineStr">
        <is>
          <t>BG-11 Seller tax representative</t>
        </is>
      </c>
      <c r="C69" s="4" t="inlineStr">
        <is>
          <t>Tax rep. city</t>
        </is>
      </c>
      <c r="D69" s="4" t="inlineStr">
        <is>
          <t>0..1</t>
        </is>
      </c>
      <c r="E69" s="6" t="inlineStr">
        <is>
          <t>CM</t>
        </is>
      </c>
      <c r="F69" s="4" t="inlineStr"/>
      <c r="G69" s="4" t="inlineStr">
        <is>
          <t>Text</t>
        </is>
      </c>
      <c r="H69" s="4" t="inlineStr"/>
      <c r="I69" s="4" t="inlineStr"/>
      <c r="J69" s="4" t="inlineStr">
        <is>
          <t>Mandatory if BG-11 is present.</t>
        </is>
      </c>
    </row>
    <row r="70">
      <c r="A70" s="4" t="inlineStr">
        <is>
          <t>BT-67</t>
        </is>
      </c>
      <c r="B70" s="4" t="inlineStr">
        <is>
          <t>BG-11 Seller tax representative</t>
        </is>
      </c>
      <c r="C70" s="4" t="inlineStr">
        <is>
          <t>Tax rep. post code</t>
        </is>
      </c>
      <c r="D70" s="4" t="inlineStr">
        <is>
          <t>0..1</t>
        </is>
      </c>
      <c r="E70" s="7" t="inlineStr">
        <is>
          <t>O</t>
        </is>
      </c>
      <c r="F70" s="4" t="inlineStr"/>
      <c r="G70" s="4" t="inlineStr">
        <is>
          <t>Text</t>
        </is>
      </c>
      <c r="H70" s="4" t="inlineStr"/>
      <c r="I70" s="4" t="inlineStr"/>
      <c r="J70" s="4" t="inlineStr"/>
    </row>
    <row r="71">
      <c r="A71" s="4" t="inlineStr">
        <is>
          <t>BT-68</t>
        </is>
      </c>
      <c r="B71" s="4" t="inlineStr">
        <is>
          <t>BG-11 Seller tax representative</t>
        </is>
      </c>
      <c r="C71" s="4" t="inlineStr">
        <is>
          <t>Tax rep. country subdivision</t>
        </is>
      </c>
      <c r="D71" s="4" t="inlineStr">
        <is>
          <t>0..1</t>
        </is>
      </c>
      <c r="E71" s="7" t="inlineStr">
        <is>
          <t>O</t>
        </is>
      </c>
      <c r="F71" s="4" t="inlineStr"/>
      <c r="G71" s="4" t="inlineStr">
        <is>
          <t>Code</t>
        </is>
      </c>
      <c r="H71" s="4" t="inlineStr"/>
      <c r="I71" s="4" t="inlineStr"/>
      <c r="J71" s="4" t="inlineStr"/>
    </row>
    <row r="72">
      <c r="A72" s="4" t="inlineStr">
        <is>
          <t>BT-69</t>
        </is>
      </c>
      <c r="B72" s="4" t="inlineStr">
        <is>
          <t>BG-11 Seller tax representative</t>
        </is>
      </c>
      <c r="C72" s="4" t="inlineStr">
        <is>
          <t>Tax rep. country code</t>
        </is>
      </c>
      <c r="D72" s="4" t="inlineStr">
        <is>
          <t>0..1</t>
        </is>
      </c>
      <c r="E72" s="6" t="inlineStr">
        <is>
          <t>CM</t>
        </is>
      </c>
      <c r="F72" s="4" t="inlineStr"/>
      <c r="G72" s="4" t="inlineStr">
        <is>
          <t>Code</t>
        </is>
      </c>
      <c r="H72" s="4" t="inlineStr">
        <is>
          <t>AE</t>
        </is>
      </c>
      <c r="I72" s="4" t="inlineStr"/>
      <c r="J72" s="4" t="inlineStr">
        <is>
          <t>Mandatory if BG-11 is present.</t>
        </is>
      </c>
    </row>
    <row r="73">
      <c r="A73" s="4" t="inlineStr">
        <is>
          <t>BT-70</t>
        </is>
      </c>
      <c r="B73" s="4" t="inlineStr">
        <is>
          <t>BG-13/14/15 Delivery &amp; period</t>
        </is>
      </c>
      <c r="C73" s="4" t="inlineStr">
        <is>
          <t>Deliver to party name</t>
        </is>
      </c>
      <c r="D73" s="4" t="inlineStr">
        <is>
          <t>0..1</t>
        </is>
      </c>
      <c r="E73" s="7" t="inlineStr">
        <is>
          <t>O</t>
        </is>
      </c>
      <c r="F73" s="4" t="inlineStr"/>
      <c r="G73" s="4" t="inlineStr">
        <is>
          <t>Text</t>
        </is>
      </c>
      <c r="H73" s="4" t="inlineStr"/>
      <c r="I73" s="4" t="inlineStr"/>
      <c r="J73" s="4" t="inlineStr"/>
    </row>
    <row r="74">
      <c r="A74" s="4" t="inlineStr">
        <is>
          <t>BT-71</t>
        </is>
      </c>
      <c r="B74" s="4" t="inlineStr">
        <is>
          <t>BG-13/14/15 Delivery &amp; period</t>
        </is>
      </c>
      <c r="C74" s="4" t="inlineStr">
        <is>
          <t>Deliver to location identifier</t>
        </is>
      </c>
      <c r="D74" s="4" t="inlineStr">
        <is>
          <t>0..1</t>
        </is>
      </c>
      <c r="E74" s="7" t="inlineStr">
        <is>
          <t>O</t>
        </is>
      </c>
      <c r="F74" s="4" t="inlineStr"/>
      <c r="G74" s="4" t="inlineStr">
        <is>
          <t>Identifier</t>
        </is>
      </c>
      <c r="H74" s="4" t="inlineStr"/>
      <c r="I74" s="4" t="inlineStr"/>
      <c r="J74" s="4" t="inlineStr"/>
    </row>
    <row r="75">
      <c r="A75" s="4" t="inlineStr">
        <is>
          <t>BT-72</t>
        </is>
      </c>
      <c r="B75" s="4" t="inlineStr">
        <is>
          <t>BG-13/14/15 Delivery &amp; period</t>
        </is>
      </c>
      <c r="C75" s="4" t="inlineStr">
        <is>
          <t>Actual delivery date</t>
        </is>
      </c>
      <c r="D75" s="4" t="inlineStr">
        <is>
          <t>0..1</t>
        </is>
      </c>
      <c r="E75" s="7" t="inlineStr">
        <is>
          <t>O</t>
        </is>
      </c>
      <c r="F75" s="4" t="inlineStr">
        <is>
          <t>Date goods delivered/service supplied.</t>
        </is>
      </c>
      <c r="G75" s="4" t="inlineStr">
        <is>
          <t>Date YYYY-MM-DD</t>
        </is>
      </c>
      <c r="H75" s="4" t="inlineStr">
        <is>
          <t>2026-10-29</t>
        </is>
      </c>
      <c r="I75" s="4" t="inlineStr"/>
      <c r="J75" s="4" t="inlineStr"/>
    </row>
    <row r="76">
      <c r="A76" s="4" t="inlineStr">
        <is>
          <t>BT-73</t>
        </is>
      </c>
      <c r="B76" s="4" t="inlineStr">
        <is>
          <t>BG-13/14/15 Delivery &amp; period</t>
        </is>
      </c>
      <c r="C76" s="4" t="inlineStr">
        <is>
          <t>Invoicing period start date</t>
        </is>
      </c>
      <c r="D76" s="4" t="inlineStr">
        <is>
          <t>0..1</t>
        </is>
      </c>
      <c r="E76" s="6" t="inlineStr">
        <is>
          <t>CM</t>
        </is>
      </c>
      <c r="F76" s="4" t="inlineStr">
        <is>
          <t>Start of the billing period.</t>
        </is>
      </c>
      <c r="G76" s="4" t="inlineStr">
        <is>
          <t>Date YYYY-MM-DD</t>
        </is>
      </c>
      <c r="H76" s="4" t="inlineStr">
        <is>
          <t>2026-10-01</t>
        </is>
      </c>
      <c r="I76" s="4" t="inlineStr">
        <is>
          <t>&lt;= BT-74.</t>
        </is>
      </c>
      <c r="J76" s="4" t="inlineStr">
        <is>
          <t>Mandatory when BTAE-02 pos 5 (continuous supply) = 1.</t>
        </is>
      </c>
    </row>
    <row r="77">
      <c r="A77" s="4" t="inlineStr">
        <is>
          <t>BT-74</t>
        </is>
      </c>
      <c r="B77" s="4" t="inlineStr">
        <is>
          <t>BG-13/14/15 Delivery &amp; period</t>
        </is>
      </c>
      <c r="C77" s="4" t="inlineStr">
        <is>
          <t>Invoicing period end date</t>
        </is>
      </c>
      <c r="D77" s="4" t="inlineStr">
        <is>
          <t>0..1</t>
        </is>
      </c>
      <c r="E77" s="6" t="inlineStr">
        <is>
          <t>CM</t>
        </is>
      </c>
      <c r="F77" s="4" t="inlineStr">
        <is>
          <t>End of the billing period.</t>
        </is>
      </c>
      <c r="G77" s="4" t="inlineStr">
        <is>
          <t>Date YYYY-MM-DD</t>
        </is>
      </c>
      <c r="H77" s="4" t="inlineStr">
        <is>
          <t>2026-10-31</t>
        </is>
      </c>
      <c r="I77" s="4" t="inlineStr">
        <is>
          <t>&gt;= BT-73.</t>
        </is>
      </c>
      <c r="J77" s="4" t="inlineStr">
        <is>
          <t>Mandatory when BTAE-02 pos 5 = 1.</t>
        </is>
      </c>
    </row>
    <row r="78">
      <c r="A78" s="4" t="inlineStr">
        <is>
          <t>BT-75</t>
        </is>
      </c>
      <c r="B78" s="4" t="inlineStr">
        <is>
          <t>BG-13/14/15 Delivery &amp; period</t>
        </is>
      </c>
      <c r="C78" s="4" t="inlineStr">
        <is>
          <t>Deliver to address line 1</t>
        </is>
      </c>
      <c r="D78" s="4" t="inlineStr">
        <is>
          <t>0..1</t>
        </is>
      </c>
      <c r="E78" s="7" t="inlineStr">
        <is>
          <t>O</t>
        </is>
      </c>
      <c r="F78" s="4" t="inlineStr"/>
      <c r="G78" s="4" t="inlineStr">
        <is>
          <t>Text</t>
        </is>
      </c>
      <c r="H78" s="4" t="inlineStr"/>
      <c r="I78" s="4" t="inlineStr"/>
      <c r="J78" s="4" t="inlineStr"/>
    </row>
    <row r="79">
      <c r="A79" s="4" t="inlineStr">
        <is>
          <t>BT-76</t>
        </is>
      </c>
      <c r="B79" s="4" t="inlineStr">
        <is>
          <t>BG-13/14/15 Delivery &amp; period</t>
        </is>
      </c>
      <c r="C79" s="4" t="inlineStr">
        <is>
          <t>Deliver to address line 2</t>
        </is>
      </c>
      <c r="D79" s="4" t="inlineStr">
        <is>
          <t>0..1</t>
        </is>
      </c>
      <c r="E79" s="7" t="inlineStr">
        <is>
          <t>O</t>
        </is>
      </c>
      <c r="F79" s="4" t="inlineStr"/>
      <c r="G79" s="4" t="inlineStr">
        <is>
          <t>Text</t>
        </is>
      </c>
      <c r="H79" s="4" t="inlineStr"/>
      <c r="I79" s="4" t="inlineStr"/>
      <c r="J79" s="4" t="inlineStr"/>
    </row>
    <row r="80">
      <c r="A80" s="4" t="inlineStr">
        <is>
          <t>BT-165</t>
        </is>
      </c>
      <c r="B80" s="4" t="inlineStr">
        <is>
          <t>BG-13/14/15 Delivery &amp; period</t>
        </is>
      </c>
      <c r="C80" s="4" t="inlineStr">
        <is>
          <t>Deliver to address line 3</t>
        </is>
      </c>
      <c r="D80" s="4" t="inlineStr">
        <is>
          <t>0..1</t>
        </is>
      </c>
      <c r="E80" s="7" t="inlineStr">
        <is>
          <t>O</t>
        </is>
      </c>
      <c r="F80" s="4" t="inlineStr"/>
      <c r="G80" s="4" t="inlineStr">
        <is>
          <t>Text</t>
        </is>
      </c>
      <c r="H80" s="4" t="inlineStr"/>
      <c r="I80" s="4" t="inlineStr"/>
      <c r="J80" s="4" t="inlineStr"/>
    </row>
    <row r="81">
      <c r="A81" s="4" t="inlineStr">
        <is>
          <t>BT-77</t>
        </is>
      </c>
      <c r="B81" s="4" t="inlineStr">
        <is>
          <t>BG-13/14/15 Delivery &amp; period</t>
        </is>
      </c>
      <c r="C81" s="4" t="inlineStr">
        <is>
          <t>Deliver to city</t>
        </is>
      </c>
      <c r="D81" s="4" t="inlineStr">
        <is>
          <t>0..1</t>
        </is>
      </c>
      <c r="E81" s="7" t="inlineStr">
        <is>
          <t>O</t>
        </is>
      </c>
      <c r="F81" s="4" t="inlineStr"/>
      <c r="G81" s="4" t="inlineStr">
        <is>
          <t>Text</t>
        </is>
      </c>
      <c r="H81" s="4" t="inlineStr"/>
      <c r="I81" s="4" t="inlineStr"/>
      <c r="J81" s="4" t="inlineStr"/>
    </row>
    <row r="82">
      <c r="A82" s="4" t="inlineStr">
        <is>
          <t>BT-78</t>
        </is>
      </c>
      <c r="B82" s="4" t="inlineStr">
        <is>
          <t>BG-13/14/15 Delivery &amp; period</t>
        </is>
      </c>
      <c r="C82" s="4" t="inlineStr">
        <is>
          <t>Deliver to post code</t>
        </is>
      </c>
      <c r="D82" s="4" t="inlineStr">
        <is>
          <t>0..1</t>
        </is>
      </c>
      <c r="E82" s="7" t="inlineStr">
        <is>
          <t>O</t>
        </is>
      </c>
      <c r="F82" s="4" t="inlineStr"/>
      <c r="G82" s="4" t="inlineStr">
        <is>
          <t>Text</t>
        </is>
      </c>
      <c r="H82" s="4" t="inlineStr"/>
      <c r="I82" s="4" t="inlineStr"/>
      <c r="J82" s="4" t="inlineStr"/>
    </row>
    <row r="83">
      <c r="A83" s="4" t="inlineStr">
        <is>
          <t>BT-79</t>
        </is>
      </c>
      <c r="B83" s="4" t="inlineStr">
        <is>
          <t>BG-13/14/15 Delivery &amp; period</t>
        </is>
      </c>
      <c r="C83" s="4" t="inlineStr">
        <is>
          <t>Deliver to country subdivision</t>
        </is>
      </c>
      <c r="D83" s="4" t="inlineStr">
        <is>
          <t>0..1</t>
        </is>
      </c>
      <c r="E83" s="7" t="inlineStr">
        <is>
          <t>O</t>
        </is>
      </c>
      <c r="F83" s="4" t="inlineStr"/>
      <c r="G83" s="4" t="inlineStr">
        <is>
          <t>Code</t>
        </is>
      </c>
      <c r="H83" s="4" t="inlineStr"/>
      <c r="I83" s="4" t="inlineStr"/>
      <c r="J83" s="4" t="inlineStr"/>
    </row>
    <row r="84">
      <c r="A84" s="4" t="inlineStr">
        <is>
          <t>BT-80</t>
        </is>
      </c>
      <c r="B84" s="4" t="inlineStr">
        <is>
          <t>BG-13/14/15 Delivery &amp; period</t>
        </is>
      </c>
      <c r="C84" s="4" t="inlineStr">
        <is>
          <t>Deliver to country code</t>
        </is>
      </c>
      <c r="D84" s="4" t="inlineStr">
        <is>
          <t>0..1</t>
        </is>
      </c>
      <c r="E84" s="6" t="inlineStr">
        <is>
          <t>CM</t>
        </is>
      </c>
      <c r="F84" s="4" t="inlineStr"/>
      <c r="G84" s="4" t="inlineStr">
        <is>
          <t>Code</t>
        </is>
      </c>
      <c r="H84" s="4" t="inlineStr">
        <is>
          <t>AE</t>
        </is>
      </c>
      <c r="I84" s="4" t="inlineStr"/>
      <c r="J84" s="4" t="inlineStr">
        <is>
          <t>Mandatory if delivery address group is present.</t>
        </is>
      </c>
    </row>
    <row r="85">
      <c r="A85" s="4" t="inlineStr">
        <is>
          <t>BT-81</t>
        </is>
      </c>
      <c r="B85" s="4" t="inlineStr">
        <is>
          <t>BG-16 Payment instructions</t>
        </is>
      </c>
      <c r="C85" s="4" t="inlineStr">
        <is>
          <t>Payment means type code</t>
        </is>
      </c>
      <c r="D85" s="4" t="inlineStr">
        <is>
          <t>0..n</t>
        </is>
      </c>
      <c r="E85" s="6" t="inlineStr">
        <is>
          <t>CM</t>
        </is>
      </c>
      <c r="F85" s="4" t="inlineStr">
        <is>
          <t>How payment is made (UNCL4461).</t>
        </is>
      </c>
      <c r="G85" s="4" t="inlineStr">
        <is>
          <t>Code</t>
        </is>
      </c>
      <c r="H85" s="4" t="inlineStr">
        <is>
          <t>30</t>
        </is>
      </c>
      <c r="I85" s="4" t="inlineStr">
        <is>
          <t>e.g. 10 cash, 30 credit transfer, 48 card, 49 direct debit, 42 payment to account.</t>
        </is>
      </c>
      <c r="J85" s="4" t="inlineStr">
        <is>
          <t>Mandatory if BG-16 is present.</t>
        </is>
      </c>
    </row>
    <row r="86">
      <c r="A86" s="4" t="inlineStr">
        <is>
          <t>BT-82</t>
        </is>
      </c>
      <c r="B86" s="4" t="inlineStr">
        <is>
          <t>BG-16 Payment instructions</t>
        </is>
      </c>
      <c r="C86" s="4" t="inlineStr">
        <is>
          <t>Payment means text</t>
        </is>
      </c>
      <c r="D86" s="4" t="inlineStr">
        <is>
          <t>0..1</t>
        </is>
      </c>
      <c r="E86" s="7" t="inlineStr">
        <is>
          <t>O</t>
        </is>
      </c>
      <c r="F86" s="4" t="inlineStr"/>
      <c r="G86" s="4" t="inlineStr">
        <is>
          <t>Text</t>
        </is>
      </c>
      <c r="H86" s="4" t="inlineStr">
        <is>
          <t>Bank transfer</t>
        </is>
      </c>
      <c r="I86" s="4" t="inlineStr"/>
      <c r="J86" s="4" t="inlineStr"/>
    </row>
    <row r="87">
      <c r="A87" s="4" t="inlineStr">
        <is>
          <t>BT-83</t>
        </is>
      </c>
      <c r="B87" s="4" t="inlineStr">
        <is>
          <t>BG-16 Payment instructions</t>
        </is>
      </c>
      <c r="C87" s="4" t="inlineStr">
        <is>
          <t>Remittance information</t>
        </is>
      </c>
      <c r="D87" s="4" t="inlineStr">
        <is>
          <t>0..1</t>
        </is>
      </c>
      <c r="E87" s="7" t="inlineStr">
        <is>
          <t>O</t>
        </is>
      </c>
      <c r="F87" s="4" t="inlineStr">
        <is>
          <t>Reference for the payer to quote.</t>
        </is>
      </c>
      <c r="G87" s="4" t="inlineStr">
        <is>
          <t>Text</t>
        </is>
      </c>
      <c r="H87" s="4" t="inlineStr">
        <is>
          <t>INV-2026-000123</t>
        </is>
      </c>
      <c r="I87" s="4" t="inlineStr"/>
      <c r="J87" s="4" t="inlineStr"/>
    </row>
    <row r="88">
      <c r="A88" s="4" t="inlineStr">
        <is>
          <t>BT-84</t>
        </is>
      </c>
      <c r="B88" s="4" t="inlineStr">
        <is>
          <t>BG-16 Payment instructions</t>
        </is>
      </c>
      <c r="C88" s="4" t="inlineStr">
        <is>
          <t>Payment account identifier (IBAN)</t>
        </is>
      </c>
      <c r="D88" s="4" t="inlineStr">
        <is>
          <t>0..n</t>
        </is>
      </c>
      <c r="E88" s="6" t="inlineStr">
        <is>
          <t>CM</t>
        </is>
      </c>
      <c r="F88" s="4" t="inlineStr">
        <is>
          <t>Account to be credited.</t>
        </is>
      </c>
      <c r="G88" s="4" t="inlineStr">
        <is>
          <t>Identifier</t>
        </is>
      </c>
      <c r="H88" s="4" t="inlineStr">
        <is>
          <t>AE070331234567890123456</t>
        </is>
      </c>
      <c r="I88" s="4" t="inlineStr">
        <is>
          <t>UAE IBAN = 23 chars, starts AE.</t>
        </is>
      </c>
      <c r="J88" s="4" t="inlineStr">
        <is>
          <t>Mandatory when BT-81 = 30 or 58 (credit transfer).</t>
        </is>
      </c>
    </row>
    <row r="89">
      <c r="A89" s="4" t="inlineStr">
        <is>
          <t>BT-85</t>
        </is>
      </c>
      <c r="B89" s="4" t="inlineStr">
        <is>
          <t>BG-16 Payment instructions</t>
        </is>
      </c>
      <c r="C89" s="4" t="inlineStr">
        <is>
          <t>Payment account name</t>
        </is>
      </c>
      <c r="D89" s="4" t="inlineStr">
        <is>
          <t>0..1</t>
        </is>
      </c>
      <c r="E89" s="7" t="inlineStr">
        <is>
          <t>O</t>
        </is>
      </c>
      <c r="F89" s="4" t="inlineStr"/>
      <c r="G89" s="4" t="inlineStr">
        <is>
          <t>Text</t>
        </is>
      </c>
      <c r="H89" s="4" t="inlineStr">
        <is>
          <t>Al Noor Trading LLC</t>
        </is>
      </c>
      <c r="I89" s="4" t="inlineStr"/>
      <c r="J89" s="4" t="inlineStr"/>
    </row>
    <row r="90">
      <c r="A90" s="4" t="inlineStr">
        <is>
          <t>BT-86</t>
        </is>
      </c>
      <c r="B90" s="4" t="inlineStr">
        <is>
          <t>BG-16 Payment instructions</t>
        </is>
      </c>
      <c r="C90" s="4" t="inlineStr">
        <is>
          <t>Payment service provider identifier</t>
        </is>
      </c>
      <c r="D90" s="4" t="inlineStr">
        <is>
          <t>0..1</t>
        </is>
      </c>
      <c r="E90" s="7" t="inlineStr">
        <is>
          <t>O</t>
        </is>
      </c>
      <c r="F90" s="4" t="inlineStr">
        <is>
          <t>BIC/SWIFT.</t>
        </is>
      </c>
      <c r="G90" s="4" t="inlineStr">
        <is>
          <t>Identifier</t>
        </is>
      </c>
      <c r="H90" s="4" t="inlineStr">
        <is>
          <t>NBADAEAA</t>
        </is>
      </c>
      <c r="I90" s="4" t="inlineStr"/>
      <c r="J90" s="4" t="inlineStr"/>
    </row>
    <row r="91">
      <c r="A91" s="4" t="inlineStr">
        <is>
          <t>BT-87</t>
        </is>
      </c>
      <c r="B91" s="4" t="inlineStr">
        <is>
          <t>BG-16 Payment instructions</t>
        </is>
      </c>
      <c r="C91" s="4" t="inlineStr">
        <is>
          <t>Payment card primary account number</t>
        </is>
      </c>
      <c r="D91" s="4" t="inlineStr">
        <is>
          <t>0..1</t>
        </is>
      </c>
      <c r="E91" s="7" t="inlineStr">
        <is>
          <t>O</t>
        </is>
      </c>
      <c r="F91" s="4" t="inlineStr">
        <is>
          <t>Last 4-6 digits only.</t>
        </is>
      </c>
      <c r="G91" s="4" t="inlineStr">
        <is>
          <t>Text</t>
        </is>
      </c>
      <c r="H91" s="4" t="inlineStr">
        <is>
          <t>1234</t>
        </is>
      </c>
      <c r="I91" s="4" t="inlineStr">
        <is>
          <t>Never full PAN (security).</t>
        </is>
      </c>
      <c r="J91" s="4" t="inlineStr"/>
    </row>
    <row r="92">
      <c r="A92" s="4" t="inlineStr">
        <is>
          <t>BT-88</t>
        </is>
      </c>
      <c r="B92" s="4" t="inlineStr">
        <is>
          <t>BG-16 Payment instructions</t>
        </is>
      </c>
      <c r="C92" s="4" t="inlineStr">
        <is>
          <t>Payment card holder name</t>
        </is>
      </c>
      <c r="D92" s="4" t="inlineStr">
        <is>
          <t>0..1</t>
        </is>
      </c>
      <c r="E92" s="7" t="inlineStr">
        <is>
          <t>O</t>
        </is>
      </c>
      <c r="F92" s="4" t="inlineStr"/>
      <c r="G92" s="4" t="inlineStr">
        <is>
          <t>Text</t>
        </is>
      </c>
      <c r="H92" s="4" t="inlineStr"/>
      <c r="I92" s="4" t="inlineStr"/>
      <c r="J92" s="4" t="inlineStr"/>
    </row>
    <row r="93">
      <c r="A93" s="4" t="inlineStr">
        <is>
          <t>BT-89</t>
        </is>
      </c>
      <c r="B93" s="4" t="inlineStr">
        <is>
          <t>BG-16 Payment instructions</t>
        </is>
      </c>
      <c r="C93" s="4" t="inlineStr">
        <is>
          <t>Mandate reference identifier</t>
        </is>
      </c>
      <c r="D93" s="4" t="inlineStr">
        <is>
          <t>0..1</t>
        </is>
      </c>
      <c r="E93" s="6" t="inlineStr">
        <is>
          <t>CM</t>
        </is>
      </c>
      <c r="F93" s="4" t="inlineStr">
        <is>
          <t>Direct debit mandate.</t>
        </is>
      </c>
      <c r="G93" s="4" t="inlineStr">
        <is>
          <t>Identifier</t>
        </is>
      </c>
      <c r="H93" s="4" t="inlineStr">
        <is>
          <t>MND-1</t>
        </is>
      </c>
      <c r="I93" s="4" t="inlineStr"/>
      <c r="J93" s="4" t="inlineStr">
        <is>
          <t>Mandatory when BT-81 = 49 (direct debit).</t>
        </is>
      </c>
    </row>
    <row r="94">
      <c r="A94" s="4" t="inlineStr">
        <is>
          <t>BT-90</t>
        </is>
      </c>
      <c r="B94" s="4" t="inlineStr">
        <is>
          <t>BG-16 Payment instructions</t>
        </is>
      </c>
      <c r="C94" s="4" t="inlineStr">
        <is>
          <t>Bank assigned creditor identifier</t>
        </is>
      </c>
      <c r="D94" s="4" t="inlineStr">
        <is>
          <t>0..1</t>
        </is>
      </c>
      <c r="E94" s="7" t="inlineStr">
        <is>
          <t>O</t>
        </is>
      </c>
      <c r="F94" s="4" t="inlineStr"/>
      <c r="G94" s="4" t="inlineStr">
        <is>
          <t>Identifier</t>
        </is>
      </c>
      <c r="H94" s="4" t="inlineStr"/>
      <c r="I94" s="4" t="inlineStr"/>
      <c r="J94" s="4" t="inlineStr"/>
    </row>
    <row r="95">
      <c r="A95" s="4" t="inlineStr">
        <is>
          <t>BT-91</t>
        </is>
      </c>
      <c r="B95" s="4" t="inlineStr">
        <is>
          <t>BG-16 Payment instructions</t>
        </is>
      </c>
      <c r="C95" s="4" t="inlineStr">
        <is>
          <t>Debited account identifier</t>
        </is>
      </c>
      <c r="D95" s="4" t="inlineStr">
        <is>
          <t>0..1</t>
        </is>
      </c>
      <c r="E95" s="6" t="inlineStr">
        <is>
          <t>CM</t>
        </is>
      </c>
      <c r="F95" s="4" t="inlineStr"/>
      <c r="G95" s="4" t="inlineStr">
        <is>
          <t>Identifier</t>
        </is>
      </c>
      <c r="H95" s="4" t="inlineStr"/>
      <c r="I95" s="4" t="inlineStr"/>
      <c r="J95" s="4" t="inlineStr">
        <is>
          <t>Mandatory when BT-81 = 49.</t>
        </is>
      </c>
    </row>
    <row r="96">
      <c r="A96" s="4" t="inlineStr">
        <is>
          <t>BT-92</t>
        </is>
      </c>
      <c r="B96" s="4" t="inlineStr">
        <is>
          <t>BG-20 Document level allowance</t>
        </is>
      </c>
      <c r="C96" s="4" t="inlineStr">
        <is>
          <t>Document level allowance amount</t>
        </is>
      </c>
      <c r="D96" s="4" t="inlineStr">
        <is>
          <t>1..1</t>
        </is>
      </c>
      <c r="E96" s="6" t="inlineStr">
        <is>
          <t>CM</t>
        </is>
      </c>
      <c r="F96" s="4" t="inlineStr">
        <is>
          <t>Discount on the whole invoice.</t>
        </is>
      </c>
      <c r="G96" s="4" t="inlineStr">
        <is>
          <t>Amount, 2 dp (max 19 digits)</t>
        </is>
      </c>
      <c r="H96" s="4" t="inlineStr">
        <is>
          <t>50.00</t>
        </is>
      </c>
      <c r="I96" s="4">
        <f> BT-93 x BT-94 / 100 when both given.</f>
        <v/>
      </c>
      <c r="J96" s="4" t="inlineStr">
        <is>
          <t>Mandatory if BG-20 is present.</t>
        </is>
      </c>
    </row>
    <row r="97">
      <c r="A97" s="4" t="inlineStr">
        <is>
          <t>BT-93</t>
        </is>
      </c>
      <c r="B97" s="4" t="inlineStr">
        <is>
          <t>BG-20 Document level allowance</t>
        </is>
      </c>
      <c r="C97" s="4" t="inlineStr">
        <is>
          <t>Allowance base amount</t>
        </is>
      </c>
      <c r="D97" s="4" t="inlineStr">
        <is>
          <t>0..1</t>
        </is>
      </c>
      <c r="E97" s="7" t="inlineStr">
        <is>
          <t>O</t>
        </is>
      </c>
      <c r="F97" s="4" t="inlineStr"/>
      <c r="G97" s="4" t="inlineStr">
        <is>
          <t>Amount, 2 dp (max 19 digits)</t>
        </is>
      </c>
      <c r="H97" s="4" t="inlineStr">
        <is>
          <t>1000.00</t>
        </is>
      </c>
      <c r="I97" s="4" t="inlineStr"/>
      <c r="J97" s="4" t="inlineStr"/>
    </row>
    <row r="98">
      <c r="A98" s="4" t="inlineStr">
        <is>
          <t>BT-94</t>
        </is>
      </c>
      <c r="B98" s="4" t="inlineStr">
        <is>
          <t>BG-20 Document level allowance</t>
        </is>
      </c>
      <c r="C98" s="4" t="inlineStr">
        <is>
          <t>Allowance percentage</t>
        </is>
      </c>
      <c r="D98" s="4" t="inlineStr">
        <is>
          <t>0..1</t>
        </is>
      </c>
      <c r="E98" s="7" t="inlineStr">
        <is>
          <t>O</t>
        </is>
      </c>
      <c r="F98" s="4" t="inlineStr"/>
      <c r="G98" s="4" t="inlineStr">
        <is>
          <t>Decimal %</t>
        </is>
      </c>
      <c r="H98" s="4" t="inlineStr">
        <is>
          <t>5</t>
        </is>
      </c>
      <c r="I98" s="4" t="inlineStr"/>
      <c r="J98" s="4" t="inlineStr"/>
    </row>
    <row r="99">
      <c r="A99" s="4" t="inlineStr">
        <is>
          <t>BT-95</t>
        </is>
      </c>
      <c r="B99" s="4" t="inlineStr">
        <is>
          <t>BG-20 Document level allowance</t>
        </is>
      </c>
      <c r="C99" s="4" t="inlineStr">
        <is>
          <t>Allowance VAT category code</t>
        </is>
      </c>
      <c r="D99" s="4" t="inlineStr">
        <is>
          <t>1..1</t>
        </is>
      </c>
      <c r="E99" s="6" t="inlineStr">
        <is>
          <t>CM</t>
        </is>
      </c>
      <c r="F99" s="4" t="inlineStr">
        <is>
          <t>VAT category for the allowance.</t>
        </is>
      </c>
      <c r="G99" s="4" t="inlineStr">
        <is>
          <t>Code</t>
        </is>
      </c>
      <c r="H99" s="4" t="inlineStr">
        <is>
          <t>S</t>
        </is>
      </c>
      <c r="I99" s="4" t="inlineStr">
        <is>
          <t>S, Z, E, O (and AE if reverse charge permitted).</t>
        </is>
      </c>
      <c r="J99" s="4" t="inlineStr">
        <is>
          <t>Mandatory if BG-20 is present.</t>
        </is>
      </c>
    </row>
    <row r="100">
      <c r="A100" s="4" t="inlineStr">
        <is>
          <t>BT-96</t>
        </is>
      </c>
      <c r="B100" s="4" t="inlineStr">
        <is>
          <t>BG-20 Document level allowance</t>
        </is>
      </c>
      <c r="C100" s="4" t="inlineStr">
        <is>
          <t>Allowance VAT rate</t>
        </is>
      </c>
      <c r="D100" s="4" t="inlineStr">
        <is>
          <t>0..1</t>
        </is>
      </c>
      <c r="E100" s="6" t="inlineStr">
        <is>
          <t>CM</t>
        </is>
      </c>
      <c r="F100" s="4" t="inlineStr"/>
      <c r="G100" s="4" t="inlineStr">
        <is>
          <t>Decimal %</t>
        </is>
      </c>
      <c r="H100" s="4" t="inlineStr">
        <is>
          <t>5</t>
        </is>
      </c>
      <c r="I100" s="4" t="inlineStr"/>
      <c r="J100" s="4" t="inlineStr">
        <is>
          <t>Mandatory when BT-95 = S.</t>
        </is>
      </c>
    </row>
    <row r="101">
      <c r="A101" s="4" t="inlineStr">
        <is>
          <t>BT-97</t>
        </is>
      </c>
      <c r="B101" s="4" t="inlineStr">
        <is>
          <t>BG-20 Document level allowance</t>
        </is>
      </c>
      <c r="C101" s="4" t="inlineStr">
        <is>
          <t>Allowance reason</t>
        </is>
      </c>
      <c r="D101" s="4" t="inlineStr">
        <is>
          <t>0..1</t>
        </is>
      </c>
      <c r="E101" s="6" t="inlineStr">
        <is>
          <t>CM</t>
        </is>
      </c>
      <c r="F101" s="4" t="inlineStr"/>
      <c r="G101" s="4" t="inlineStr">
        <is>
          <t>Text</t>
        </is>
      </c>
      <c r="H101" s="4" t="inlineStr">
        <is>
          <t>Volume discount</t>
        </is>
      </c>
      <c r="I101" s="4" t="inlineStr"/>
      <c r="J101" s="4" t="inlineStr">
        <is>
          <t>Either BT-97 or BT-98 mandatory if BG-20 present.</t>
        </is>
      </c>
    </row>
    <row r="102">
      <c r="A102" s="4" t="inlineStr">
        <is>
          <t>BT-98</t>
        </is>
      </c>
      <c r="B102" s="4" t="inlineStr">
        <is>
          <t>BG-20 Document level allowance</t>
        </is>
      </c>
      <c r="C102" s="4" t="inlineStr">
        <is>
          <t>Allowance reason code</t>
        </is>
      </c>
      <c r="D102" s="4" t="inlineStr">
        <is>
          <t>0..1</t>
        </is>
      </c>
      <c r="E102" s="6" t="inlineStr">
        <is>
          <t>CM</t>
        </is>
      </c>
      <c r="F102" s="4" t="inlineStr">
        <is>
          <t>UNCL5189.</t>
        </is>
      </c>
      <c r="G102" s="4" t="inlineStr">
        <is>
          <t>Code</t>
        </is>
      </c>
      <c r="H102" s="4" t="inlineStr">
        <is>
          <t>95</t>
        </is>
      </c>
      <c r="I102" s="4" t="inlineStr"/>
      <c r="J102" s="4" t="inlineStr">
        <is>
          <t>Either BT-97 or BT-98 mandatory; must be consistent if both.</t>
        </is>
      </c>
    </row>
    <row r="103">
      <c r="A103" s="4" t="inlineStr">
        <is>
          <t>BT-99</t>
        </is>
      </c>
      <c r="B103" s="4" t="inlineStr">
        <is>
          <t>BG-21 Document level charge</t>
        </is>
      </c>
      <c r="C103" s="4" t="inlineStr">
        <is>
          <t>Document level charge amount</t>
        </is>
      </c>
      <c r="D103" s="4" t="inlineStr">
        <is>
          <t>1..1</t>
        </is>
      </c>
      <c r="E103" s="6" t="inlineStr">
        <is>
          <t>CM</t>
        </is>
      </c>
      <c r="F103" s="4" t="inlineStr">
        <is>
          <t>Charge on the whole invoice (freight etc.).</t>
        </is>
      </c>
      <c r="G103" s="4" t="inlineStr">
        <is>
          <t>Amount, 2 dp (max 19 digits)</t>
        </is>
      </c>
      <c r="H103" s="4" t="inlineStr">
        <is>
          <t>25.00</t>
        </is>
      </c>
      <c r="I103" s="4">
        <f> BT-100 x BT-101 / 100 when both given.</f>
        <v/>
      </c>
      <c r="J103" s="4" t="inlineStr">
        <is>
          <t>Mandatory if BG-21 is present.</t>
        </is>
      </c>
    </row>
    <row r="104">
      <c r="A104" s="4" t="inlineStr">
        <is>
          <t>BT-100</t>
        </is>
      </c>
      <c r="B104" s="4" t="inlineStr">
        <is>
          <t>BG-21 Document level charge</t>
        </is>
      </c>
      <c r="C104" s="4" t="inlineStr">
        <is>
          <t>Charge base amount</t>
        </is>
      </c>
      <c r="D104" s="4" t="inlineStr">
        <is>
          <t>0..1</t>
        </is>
      </c>
      <c r="E104" s="7" t="inlineStr">
        <is>
          <t>O</t>
        </is>
      </c>
      <c r="F104" s="4" t="inlineStr"/>
      <c r="G104" s="4" t="inlineStr">
        <is>
          <t>Amount, 2 dp (max 19 digits)</t>
        </is>
      </c>
      <c r="H104" s="4" t="inlineStr">
        <is>
          <t>500.00</t>
        </is>
      </c>
      <c r="I104" s="4" t="inlineStr"/>
      <c r="J104" s="4" t="inlineStr"/>
    </row>
    <row r="105">
      <c r="A105" s="4" t="inlineStr">
        <is>
          <t>BT-101</t>
        </is>
      </c>
      <c r="B105" s="4" t="inlineStr">
        <is>
          <t>BG-21 Document level charge</t>
        </is>
      </c>
      <c r="C105" s="4" t="inlineStr">
        <is>
          <t>Charge percentage</t>
        </is>
      </c>
      <c r="D105" s="4" t="inlineStr">
        <is>
          <t>0..1</t>
        </is>
      </c>
      <c r="E105" s="7" t="inlineStr">
        <is>
          <t>O</t>
        </is>
      </c>
      <c r="F105" s="4" t="inlineStr"/>
      <c r="G105" s="4" t="inlineStr">
        <is>
          <t>Decimal %</t>
        </is>
      </c>
      <c r="H105" s="4" t="inlineStr">
        <is>
          <t>5</t>
        </is>
      </c>
      <c r="I105" s="4" t="inlineStr"/>
      <c r="J105" s="4" t="inlineStr"/>
    </row>
    <row r="106">
      <c r="A106" s="4" t="inlineStr">
        <is>
          <t>BT-102</t>
        </is>
      </c>
      <c r="B106" s="4" t="inlineStr">
        <is>
          <t>BG-21 Document level charge</t>
        </is>
      </c>
      <c r="C106" s="4" t="inlineStr">
        <is>
          <t>Charge VAT category code</t>
        </is>
      </c>
      <c r="D106" s="4" t="inlineStr">
        <is>
          <t>1..1</t>
        </is>
      </c>
      <c r="E106" s="6" t="inlineStr">
        <is>
          <t>CM</t>
        </is>
      </c>
      <c r="F106" s="4" t="inlineStr"/>
      <c r="G106" s="4" t="inlineStr">
        <is>
          <t>Code</t>
        </is>
      </c>
      <c r="H106" s="4" t="inlineStr">
        <is>
          <t>S</t>
        </is>
      </c>
      <c r="I106" s="4" t="inlineStr"/>
      <c r="J106" s="4" t="inlineStr">
        <is>
          <t>Mandatory if BG-21 is present.</t>
        </is>
      </c>
    </row>
    <row r="107">
      <c r="A107" s="4" t="inlineStr">
        <is>
          <t>BT-103</t>
        </is>
      </c>
      <c r="B107" s="4" t="inlineStr">
        <is>
          <t>BG-21 Document level charge</t>
        </is>
      </c>
      <c r="C107" s="4" t="inlineStr">
        <is>
          <t>Charge VAT rate</t>
        </is>
      </c>
      <c r="D107" s="4" t="inlineStr">
        <is>
          <t>0..1</t>
        </is>
      </c>
      <c r="E107" s="6" t="inlineStr">
        <is>
          <t>CM</t>
        </is>
      </c>
      <c r="F107" s="4" t="inlineStr"/>
      <c r="G107" s="4" t="inlineStr">
        <is>
          <t>Decimal %</t>
        </is>
      </c>
      <c r="H107" s="4" t="inlineStr">
        <is>
          <t>5</t>
        </is>
      </c>
      <c r="I107" s="4" t="inlineStr"/>
      <c r="J107" s="4" t="inlineStr">
        <is>
          <t>Mandatory when BT-102 = S.</t>
        </is>
      </c>
    </row>
    <row r="108">
      <c r="A108" s="4" t="inlineStr">
        <is>
          <t>BT-104</t>
        </is>
      </c>
      <c r="B108" s="4" t="inlineStr">
        <is>
          <t>BG-21 Document level charge</t>
        </is>
      </c>
      <c r="C108" s="4" t="inlineStr">
        <is>
          <t>Charge reason</t>
        </is>
      </c>
      <c r="D108" s="4" t="inlineStr">
        <is>
          <t>0..1</t>
        </is>
      </c>
      <c r="E108" s="6" t="inlineStr">
        <is>
          <t>CM</t>
        </is>
      </c>
      <c r="F108" s="4" t="inlineStr"/>
      <c r="G108" s="4" t="inlineStr">
        <is>
          <t>Text</t>
        </is>
      </c>
      <c r="H108" s="4" t="inlineStr">
        <is>
          <t>Freight</t>
        </is>
      </c>
      <c r="I108" s="4" t="inlineStr"/>
      <c r="J108" s="4" t="inlineStr">
        <is>
          <t>Either BT-104 or BT-105 mandatory if BG-21 present.</t>
        </is>
      </c>
    </row>
    <row r="109">
      <c r="A109" s="4" t="inlineStr">
        <is>
          <t>BT-105</t>
        </is>
      </c>
      <c r="B109" s="4" t="inlineStr">
        <is>
          <t>BG-21 Document level charge</t>
        </is>
      </c>
      <c r="C109" s="4" t="inlineStr">
        <is>
          <t>Charge reason code</t>
        </is>
      </c>
      <c r="D109" s="4" t="inlineStr">
        <is>
          <t>0..1</t>
        </is>
      </c>
      <c r="E109" s="6" t="inlineStr">
        <is>
          <t>CM</t>
        </is>
      </c>
      <c r="F109" s="4" t="inlineStr">
        <is>
          <t>UNCL7161.</t>
        </is>
      </c>
      <c r="G109" s="4" t="inlineStr">
        <is>
          <t>Code</t>
        </is>
      </c>
      <c r="H109" s="4" t="inlineStr">
        <is>
          <t>FC</t>
        </is>
      </c>
      <c r="I109" s="4" t="inlineStr"/>
      <c r="J109" s="4" t="inlineStr">
        <is>
          <t>Either BT-104 or BT-105 mandatory.</t>
        </is>
      </c>
    </row>
    <row r="110">
      <c r="A110" s="4" t="inlineStr">
        <is>
          <t>BT-106</t>
        </is>
      </c>
      <c r="B110" s="4" t="inlineStr">
        <is>
          <t>BG-22 Document totals</t>
        </is>
      </c>
      <c r="C110" s="4" t="inlineStr">
        <is>
          <t>Sum of invoice line net amount</t>
        </is>
      </c>
      <c r="D110" s="4" t="inlineStr">
        <is>
          <t>1..1</t>
        </is>
      </c>
      <c r="E110" s="5" t="inlineStr">
        <is>
          <t>M</t>
        </is>
      </c>
      <c r="F110" s="4" t="inlineStr">
        <is>
          <t>Sum of all BT-131.</t>
        </is>
      </c>
      <c r="G110" s="4" t="inlineStr">
        <is>
          <t>Amount, 2 dp (max 19 digits)</t>
        </is>
      </c>
      <c r="H110" s="4" t="inlineStr">
        <is>
          <t>1000.00</t>
        </is>
      </c>
      <c r="I110" s="4">
        <f> sum(BT-131).</f>
        <v/>
      </c>
      <c r="J110" s="4" t="inlineStr">
        <is>
          <t>See Calculations C7.</t>
        </is>
      </c>
    </row>
    <row r="111">
      <c r="A111" s="4" t="inlineStr">
        <is>
          <t>BT-107</t>
        </is>
      </c>
      <c r="B111" s="4" t="inlineStr">
        <is>
          <t>BG-22 Document totals</t>
        </is>
      </c>
      <c r="C111" s="4" t="inlineStr">
        <is>
          <t>Sum of document level allowances</t>
        </is>
      </c>
      <c r="D111" s="4" t="inlineStr">
        <is>
          <t>0..1</t>
        </is>
      </c>
      <c r="E111" s="6" t="inlineStr">
        <is>
          <t>CM</t>
        </is>
      </c>
      <c r="F111" s="4" t="inlineStr"/>
      <c r="G111" s="4" t="inlineStr">
        <is>
          <t>Amount, 2 dp (max 19 digits)</t>
        </is>
      </c>
      <c r="H111" s="4" t="inlineStr">
        <is>
          <t>50.00</t>
        </is>
      </c>
      <c r="I111" s="4">
        <f> sum(BT-92).</f>
        <v/>
      </c>
      <c r="J111" s="4" t="inlineStr">
        <is>
          <t>Mandatory if any BG-20 present.</t>
        </is>
      </c>
    </row>
    <row r="112">
      <c r="A112" s="4" t="inlineStr">
        <is>
          <t>BT-108</t>
        </is>
      </c>
      <c r="B112" s="4" t="inlineStr">
        <is>
          <t>BG-22 Document totals</t>
        </is>
      </c>
      <c r="C112" s="4" t="inlineStr">
        <is>
          <t>Sum of document level charges</t>
        </is>
      </c>
      <c r="D112" s="4" t="inlineStr">
        <is>
          <t>0..1</t>
        </is>
      </c>
      <c r="E112" s="6" t="inlineStr">
        <is>
          <t>CM</t>
        </is>
      </c>
      <c r="F112" s="4" t="inlineStr"/>
      <c r="G112" s="4" t="inlineStr">
        <is>
          <t>Amount, 2 dp (max 19 digits)</t>
        </is>
      </c>
      <c r="H112" s="4" t="inlineStr">
        <is>
          <t>25.00</t>
        </is>
      </c>
      <c r="I112" s="4">
        <f> sum(BT-99).</f>
        <v/>
      </c>
      <c r="J112" s="4" t="inlineStr">
        <is>
          <t>Mandatory if any BG-21 present.</t>
        </is>
      </c>
    </row>
    <row r="113">
      <c r="A113" s="4" t="inlineStr">
        <is>
          <t>BT-109</t>
        </is>
      </c>
      <c r="B113" s="4" t="inlineStr">
        <is>
          <t>BG-22 Document totals</t>
        </is>
      </c>
      <c r="C113" s="4" t="inlineStr">
        <is>
          <t>Invoice total amount without VAT</t>
        </is>
      </c>
      <c r="D113" s="4" t="inlineStr">
        <is>
          <t>1..1</t>
        </is>
      </c>
      <c r="E113" s="5" t="inlineStr">
        <is>
          <t>M</t>
        </is>
      </c>
      <c r="F113" s="4" t="inlineStr">
        <is>
          <t>Taxable base total.</t>
        </is>
      </c>
      <c r="G113" s="4" t="inlineStr">
        <is>
          <t>Amount, 2 dp (max 19 digits)</t>
        </is>
      </c>
      <c r="H113" s="4" t="inlineStr">
        <is>
          <t>975.00</t>
        </is>
      </c>
      <c r="I113" s="4">
        <f> BT-106 - BT-107 + BT-108.</f>
        <v/>
      </c>
      <c r="J113" s="4" t="inlineStr">
        <is>
          <t>See C8.</t>
        </is>
      </c>
    </row>
    <row r="114">
      <c r="A114" s="4" t="inlineStr">
        <is>
          <t>BT-110</t>
        </is>
      </c>
      <c r="B114" s="4" t="inlineStr">
        <is>
          <t>BG-22 Document totals</t>
        </is>
      </c>
      <c r="C114" s="4" t="inlineStr">
        <is>
          <t>Invoice total VAT amount</t>
        </is>
      </c>
      <c r="D114" s="4" t="inlineStr">
        <is>
          <t>0..1</t>
        </is>
      </c>
      <c r="E114" s="5" t="inlineStr">
        <is>
          <t>M</t>
        </is>
      </c>
      <c r="F114" s="4" t="inlineStr">
        <is>
          <t>Total VAT in invoice currency.</t>
        </is>
      </c>
      <c r="G114" s="4" t="inlineStr">
        <is>
          <t>Amount, 2 dp (max 19 digits)</t>
        </is>
      </c>
      <c r="H114" s="4" t="inlineStr">
        <is>
          <t>48.75</t>
        </is>
      </c>
      <c r="I114" s="4">
        <f> sum(BT-117).</f>
        <v/>
      </c>
      <c r="J114" s="4" t="inlineStr">
        <is>
          <t>Mandatory for tax invoices; 0.00 if all lines zero-rated/exempt.</t>
        </is>
      </c>
    </row>
    <row r="115">
      <c r="A115" s="4" t="inlineStr">
        <is>
          <t>BT-111</t>
        </is>
      </c>
      <c r="B115" s="4" t="inlineStr">
        <is>
          <t>BG-22 Document totals</t>
        </is>
      </c>
      <c r="C115" s="4" t="inlineStr">
        <is>
          <t>Invoice total VAT amount in accounting currency</t>
        </is>
      </c>
      <c r="D115" s="4" t="inlineStr">
        <is>
          <t>0..1</t>
        </is>
      </c>
      <c r="E115" s="6" t="inlineStr">
        <is>
          <t>CM</t>
        </is>
      </c>
      <c r="F115" s="4" t="inlineStr">
        <is>
          <t>VAT in AED.</t>
        </is>
      </c>
      <c r="G115" s="4" t="inlineStr">
        <is>
          <t>Amount, 2 dp (max 19 digits)</t>
        </is>
      </c>
      <c r="H115" s="4" t="inlineStr">
        <is>
          <t>179.03</t>
        </is>
      </c>
      <c r="I115" s="4">
        <f> BT-110 x exchange rate, rounded 2 dp.</f>
        <v/>
      </c>
      <c r="J115" s="4" t="inlineStr">
        <is>
          <t>Mandatory if BT-6 present.</t>
        </is>
      </c>
    </row>
    <row r="116">
      <c r="A116" s="4" t="inlineStr">
        <is>
          <t>BT-112</t>
        </is>
      </c>
      <c r="B116" s="4" t="inlineStr">
        <is>
          <t>BG-22 Document totals</t>
        </is>
      </c>
      <c r="C116" s="4" t="inlineStr">
        <is>
          <t>Invoice total amount with VAT</t>
        </is>
      </c>
      <c r="D116" s="4" t="inlineStr">
        <is>
          <t>1..1</t>
        </is>
      </c>
      <c r="E116" s="5" t="inlineStr">
        <is>
          <t>M</t>
        </is>
      </c>
      <c r="F116" s="4" t="inlineStr"/>
      <c r="G116" s="4" t="inlineStr">
        <is>
          <t>Amount, 2 dp (max 19 digits)</t>
        </is>
      </c>
      <c r="H116" s="4" t="inlineStr">
        <is>
          <t>1023.75</t>
        </is>
      </c>
      <c r="I116" s="4">
        <f> BT-109 + BT-110.</f>
        <v/>
      </c>
      <c r="J116" s="4" t="inlineStr">
        <is>
          <t>See C10.</t>
        </is>
      </c>
    </row>
    <row r="117">
      <c r="A117" s="4" t="inlineStr">
        <is>
          <t>BT-113</t>
        </is>
      </c>
      <c r="B117" s="4" t="inlineStr">
        <is>
          <t>BG-22 Document totals</t>
        </is>
      </c>
      <c r="C117" s="4" t="inlineStr">
        <is>
          <t>Paid amount</t>
        </is>
      </c>
      <c r="D117" s="4" t="inlineStr">
        <is>
          <t>0..1</t>
        </is>
      </c>
      <c r="E117" s="7" t="inlineStr">
        <is>
          <t>O</t>
        </is>
      </c>
      <c r="F117" s="4" t="inlineStr">
        <is>
          <t>Prepayments.</t>
        </is>
      </c>
      <c r="G117" s="4" t="inlineStr">
        <is>
          <t>Amount, 2 dp (max 19 digits)</t>
        </is>
      </c>
      <c r="H117" s="4" t="inlineStr">
        <is>
          <t>0.00</t>
        </is>
      </c>
      <c r="I117" s="4" t="inlineStr"/>
      <c r="J117" s="4" t="inlineStr"/>
    </row>
    <row r="118">
      <c r="A118" s="4" t="inlineStr">
        <is>
          <t>BT-114</t>
        </is>
      </c>
      <c r="B118" s="4" t="inlineStr">
        <is>
          <t>BG-22 Document totals</t>
        </is>
      </c>
      <c r="C118" s="4" t="inlineStr">
        <is>
          <t>Rounding amount</t>
        </is>
      </c>
      <c r="D118" s="4" t="inlineStr">
        <is>
          <t>0..1</t>
        </is>
      </c>
      <c r="E118" s="7" t="inlineStr">
        <is>
          <t>O</t>
        </is>
      </c>
      <c r="F118" s="4" t="inlineStr"/>
      <c r="G118" s="4" t="inlineStr">
        <is>
          <t>Amount, 2 dp (max 19 digits)</t>
        </is>
      </c>
      <c r="H118" s="4" t="inlineStr">
        <is>
          <t>0.00</t>
        </is>
      </c>
      <c r="I118" s="4" t="inlineStr"/>
      <c r="J118" s="4" t="inlineStr"/>
    </row>
    <row r="119">
      <c r="A119" s="4" t="inlineStr">
        <is>
          <t>BT-115</t>
        </is>
      </c>
      <c r="B119" s="4" t="inlineStr">
        <is>
          <t>BG-22 Document totals</t>
        </is>
      </c>
      <c r="C119" s="4" t="inlineStr">
        <is>
          <t>Amount due for payment</t>
        </is>
      </c>
      <c r="D119" s="4" t="inlineStr">
        <is>
          <t>1..1</t>
        </is>
      </c>
      <c r="E119" s="5" t="inlineStr">
        <is>
          <t>M</t>
        </is>
      </c>
      <c r="F119" s="4" t="inlineStr"/>
      <c r="G119" s="4" t="inlineStr">
        <is>
          <t>Amount, 2 dp (max 19 digits)</t>
        </is>
      </c>
      <c r="H119" s="4" t="inlineStr">
        <is>
          <t>1023.75</t>
        </is>
      </c>
      <c r="I119" s="4">
        <f> BT-112 - BT-113 + BT-114.</f>
        <v/>
      </c>
      <c r="J119" s="4" t="inlineStr">
        <is>
          <t>See C11.</t>
        </is>
      </c>
    </row>
    <row r="120">
      <c r="A120" s="4" t="inlineStr">
        <is>
          <t>BT-116</t>
        </is>
      </c>
      <c r="B120" s="4" t="inlineStr">
        <is>
          <t>BG-23 VAT breakdown</t>
        </is>
      </c>
      <c r="C120" s="4" t="inlineStr">
        <is>
          <t>VAT category taxable amount</t>
        </is>
      </c>
      <c r="D120" s="4" t="inlineStr">
        <is>
          <t>1..1</t>
        </is>
      </c>
      <c r="E120" s="5" t="inlineStr">
        <is>
          <t>M</t>
        </is>
      </c>
      <c r="F120" s="4" t="inlineStr">
        <is>
          <t>Taxable base per category/rate.</t>
        </is>
      </c>
      <c r="G120" s="4" t="inlineStr">
        <is>
          <t>Amount, 2 dp (max 19 digits)</t>
        </is>
      </c>
      <c r="H120" s="4" t="inlineStr">
        <is>
          <t>975.00</t>
        </is>
      </c>
      <c r="I120" s="4">
        <f> sum(line net, same category+rate) - doc allowances + doc charges of same category.</f>
        <v/>
      </c>
      <c r="J120" s="4" t="inlineStr">
        <is>
          <t>One BG-23 per distinct category+rate.</t>
        </is>
      </c>
    </row>
    <row r="121">
      <c r="A121" s="4" t="inlineStr">
        <is>
          <t>BT-117</t>
        </is>
      </c>
      <c r="B121" s="4" t="inlineStr">
        <is>
          <t>BG-23 VAT breakdown</t>
        </is>
      </c>
      <c r="C121" s="4" t="inlineStr">
        <is>
          <t>VAT category tax amount</t>
        </is>
      </c>
      <c r="D121" s="4" t="inlineStr">
        <is>
          <t>1..1</t>
        </is>
      </c>
      <c r="E121" s="5" t="inlineStr">
        <is>
          <t>M</t>
        </is>
      </c>
      <c r="F121" s="4" t="inlineStr"/>
      <c r="G121" s="4" t="inlineStr">
        <is>
          <t>Amount, 2 dp (max 19 digits)</t>
        </is>
      </c>
      <c r="H121" s="4" t="inlineStr">
        <is>
          <t>48.75</t>
        </is>
      </c>
      <c r="I121" s="4">
        <f> BT-116 x BT-119 / 100, 2 dp.</f>
        <v/>
      </c>
      <c r="J121" s="4" t="inlineStr">
        <is>
          <t>0.00 for Z, E, O.</t>
        </is>
      </c>
    </row>
    <row r="122">
      <c r="A122" s="4" t="inlineStr">
        <is>
          <t>BT-118</t>
        </is>
      </c>
      <c r="B122" s="4" t="inlineStr">
        <is>
          <t>BG-23 VAT breakdown</t>
        </is>
      </c>
      <c r="C122" s="4" t="inlineStr">
        <is>
          <t>VAT category code</t>
        </is>
      </c>
      <c r="D122" s="4" t="inlineStr">
        <is>
          <t>1..1</t>
        </is>
      </c>
      <c r="E122" s="5" t="inlineStr">
        <is>
          <t>M</t>
        </is>
      </c>
      <c r="F122" s="4" t="inlineStr">
        <is>
          <t>S Standard, Z Zero-rated, E Exempt, O Not subject to VAT (AE: reverse charge where applicable).</t>
        </is>
      </c>
      <c r="G122" s="4" t="inlineStr">
        <is>
          <t>Code</t>
        </is>
      </c>
      <c r="H122" s="4" t="inlineStr">
        <is>
          <t>S</t>
        </is>
      </c>
      <c r="I122" s="4" t="inlineStr">
        <is>
          <t>Must be from FTA list.</t>
        </is>
      </c>
      <c r="J122" s="4" t="inlineStr">
        <is>
          <t>Cannot mix S with Z/E/O in one breakdown.</t>
        </is>
      </c>
    </row>
    <row r="123">
      <c r="A123" s="4" t="inlineStr">
        <is>
          <t>BT-119</t>
        </is>
      </c>
      <c r="B123" s="4" t="inlineStr">
        <is>
          <t>BG-23 VAT breakdown</t>
        </is>
      </c>
      <c r="C123" s="4" t="inlineStr">
        <is>
          <t>VAT category rate</t>
        </is>
      </c>
      <c r="D123" s="4" t="inlineStr">
        <is>
          <t>0..1</t>
        </is>
      </c>
      <c r="E123" s="6" t="inlineStr">
        <is>
          <t>CM</t>
        </is>
      </c>
      <c r="F123" s="4" t="inlineStr"/>
      <c r="G123" s="4" t="inlineStr">
        <is>
          <t>Decimal %</t>
        </is>
      </c>
      <c r="H123" s="4" t="inlineStr">
        <is>
          <t>5</t>
        </is>
      </c>
      <c r="I123" s="4" t="inlineStr">
        <is>
          <t>S: 5 (current UAE rate). Z/E/O: 0.</t>
        </is>
      </c>
      <c r="J123" s="4" t="inlineStr">
        <is>
          <t>Mandatory when BT-118 = S, Z.</t>
        </is>
      </c>
    </row>
    <row r="124">
      <c r="A124" s="4" t="inlineStr">
        <is>
          <t>BT-120</t>
        </is>
      </c>
      <c r="B124" s="4" t="inlineStr">
        <is>
          <t>BG-23 VAT breakdown</t>
        </is>
      </c>
      <c r="C124" s="4" t="inlineStr">
        <is>
          <t>VAT exemption reason text</t>
        </is>
      </c>
      <c r="D124" s="4" t="inlineStr">
        <is>
          <t>0..1</t>
        </is>
      </c>
      <c r="E124" s="6" t="inlineStr">
        <is>
          <t>CM</t>
        </is>
      </c>
      <c r="F124" s="4" t="inlineStr"/>
      <c r="G124" s="4" t="inlineStr">
        <is>
          <t>Text</t>
        </is>
      </c>
      <c r="H124" s="4" t="inlineStr">
        <is>
          <t>Exempt: residential rent</t>
        </is>
      </c>
      <c r="I124" s="4" t="inlineStr"/>
      <c r="J124" s="4" t="inlineStr">
        <is>
          <t>Mandatory when BT-118 = E or O (either BT-120 or BT-121).</t>
        </is>
      </c>
    </row>
    <row r="125">
      <c r="A125" s="4" t="inlineStr">
        <is>
          <t>BT-121</t>
        </is>
      </c>
      <c r="B125" s="4" t="inlineStr">
        <is>
          <t>BG-23 VAT breakdown</t>
        </is>
      </c>
      <c r="C125" s="4" t="inlineStr">
        <is>
          <t>VAT exemption reason code</t>
        </is>
      </c>
      <c r="D125" s="4" t="inlineStr">
        <is>
          <t>0..1</t>
        </is>
      </c>
      <c r="E125" s="6" t="inlineStr">
        <is>
          <t>CM</t>
        </is>
      </c>
      <c r="F125" s="4" t="inlineStr"/>
      <c r="G125" s="4" t="inlineStr">
        <is>
          <t>Code</t>
        </is>
      </c>
      <c r="H125" s="4" t="inlineStr">
        <is>
          <t>per FTA list</t>
        </is>
      </c>
      <c r="I125" s="4" t="inlineStr"/>
      <c r="J125" s="4" t="inlineStr">
        <is>
          <t>Either BT-120 or BT-121 for E/O. Not allowed for S.</t>
        </is>
      </c>
    </row>
    <row r="126">
      <c r="A126" s="4" t="inlineStr">
        <is>
          <t>BT-122</t>
        </is>
      </c>
      <c r="B126" s="4" t="inlineStr">
        <is>
          <t>BG-24 Supporting documents</t>
        </is>
      </c>
      <c r="C126" s="4" t="inlineStr">
        <is>
          <t>Supporting document reference</t>
        </is>
      </c>
      <c r="D126" s="4" t="inlineStr">
        <is>
          <t>1..1</t>
        </is>
      </c>
      <c r="E126" s="6" t="inlineStr">
        <is>
          <t>CM</t>
        </is>
      </c>
      <c r="F126" s="4" t="inlineStr"/>
      <c r="G126" s="4" t="inlineStr">
        <is>
          <t>Identifier</t>
        </is>
      </c>
      <c r="H126" s="4" t="inlineStr">
        <is>
          <t>DOC-1</t>
        </is>
      </c>
      <c r="I126" s="4" t="inlineStr"/>
      <c r="J126" s="4" t="inlineStr">
        <is>
          <t>Mandatory if BG-24 is present.</t>
        </is>
      </c>
    </row>
    <row r="127">
      <c r="A127" s="4" t="inlineStr">
        <is>
          <t>BT-123</t>
        </is>
      </c>
      <c r="B127" s="4" t="inlineStr">
        <is>
          <t>BG-24 Supporting documents</t>
        </is>
      </c>
      <c r="C127" s="4" t="inlineStr">
        <is>
          <t>Supporting document description</t>
        </is>
      </c>
      <c r="D127" s="4" t="inlineStr">
        <is>
          <t>0..1</t>
        </is>
      </c>
      <c r="E127" s="7" t="inlineStr">
        <is>
          <t>O</t>
        </is>
      </c>
      <c r="F127" s="4" t="inlineStr"/>
      <c r="G127" s="4" t="inlineStr">
        <is>
          <t>Text</t>
        </is>
      </c>
      <c r="H127" s="4" t="inlineStr">
        <is>
          <t>Delivery note</t>
        </is>
      </c>
      <c r="I127" s="4" t="inlineStr"/>
      <c r="J127" s="4" t="inlineStr"/>
    </row>
    <row r="128">
      <c r="A128" s="4" t="inlineStr">
        <is>
          <t>BT-124</t>
        </is>
      </c>
      <c r="B128" s="4" t="inlineStr">
        <is>
          <t>BG-24 Supporting documents</t>
        </is>
      </c>
      <c r="C128" s="4" t="inlineStr">
        <is>
          <t>External document location</t>
        </is>
      </c>
      <c r="D128" s="4" t="inlineStr">
        <is>
          <t>0..1</t>
        </is>
      </c>
      <c r="E128" s="7" t="inlineStr">
        <is>
          <t>O</t>
        </is>
      </c>
      <c r="F128" s="4" t="inlineStr">
        <is>
          <t>URI.</t>
        </is>
      </c>
      <c r="G128" s="4" t="inlineStr">
        <is>
          <t>Text</t>
        </is>
      </c>
      <c r="H128" s="4" t="inlineStr">
        <is>
          <t>https://x.ae/d.pdf</t>
        </is>
      </c>
      <c r="I128" s="4" t="inlineStr"/>
      <c r="J128" s="4" t="inlineStr"/>
    </row>
    <row r="129">
      <c r="A129" s="4" t="inlineStr">
        <is>
          <t>BT-125</t>
        </is>
      </c>
      <c r="B129" s="4" t="inlineStr">
        <is>
          <t>BG-24 Supporting documents</t>
        </is>
      </c>
      <c r="C129" s="4" t="inlineStr">
        <is>
          <t>Attached document</t>
        </is>
      </c>
      <c r="D129" s="4" t="inlineStr">
        <is>
          <t>0..1</t>
        </is>
      </c>
      <c r="E129" s="7" t="inlineStr">
        <is>
          <t>O</t>
        </is>
      </c>
      <c r="F129" s="4" t="inlineStr">
        <is>
          <t>Base64 + MIME type + filename.</t>
        </is>
      </c>
      <c r="G129" s="4" t="inlineStr">
        <is>
          <t>Binary</t>
        </is>
      </c>
      <c r="H129" s="4" t="inlineStr"/>
      <c r="I129" s="4" t="inlineStr">
        <is>
          <t>MIME: pdf, png, jpeg, csv, xlsx.</t>
        </is>
      </c>
      <c r="J129" s="4" t="inlineStr"/>
    </row>
    <row r="130">
      <c r="A130" s="4" t="inlineStr">
        <is>
          <t>BT-126</t>
        </is>
      </c>
      <c r="B130" s="4" t="inlineStr">
        <is>
          <t>BG-25 Invoice line</t>
        </is>
      </c>
      <c r="C130" s="4" t="inlineStr">
        <is>
          <t>Invoice line identifier</t>
        </is>
      </c>
      <c r="D130" s="4" t="inlineStr">
        <is>
          <t>1..1</t>
        </is>
      </c>
      <c r="E130" s="5" t="inlineStr">
        <is>
          <t>M</t>
        </is>
      </c>
      <c r="F130" s="4" t="inlineStr"/>
      <c r="G130" s="4" t="inlineStr">
        <is>
          <t>Identifier</t>
        </is>
      </c>
      <c r="H130" s="4" t="inlineStr">
        <is>
          <t>1</t>
        </is>
      </c>
      <c r="I130" s="4" t="inlineStr">
        <is>
          <t>Unique within invoice.</t>
        </is>
      </c>
      <c r="J130" s="4" t="inlineStr"/>
    </row>
    <row r="131">
      <c r="A131" s="4" t="inlineStr">
        <is>
          <t>BT-127</t>
        </is>
      </c>
      <c r="B131" s="4" t="inlineStr">
        <is>
          <t>BG-25 Invoice line</t>
        </is>
      </c>
      <c r="C131" s="4" t="inlineStr">
        <is>
          <t>Invoice line note</t>
        </is>
      </c>
      <c r="D131" s="4" t="inlineStr">
        <is>
          <t>0..1</t>
        </is>
      </c>
      <c r="E131" s="7" t="inlineStr">
        <is>
          <t>O</t>
        </is>
      </c>
      <c r="F131" s="4" t="inlineStr"/>
      <c r="G131" s="4" t="inlineStr">
        <is>
          <t>Text</t>
        </is>
      </c>
      <c r="H131" s="4" t="inlineStr"/>
      <c r="I131" s="4" t="inlineStr"/>
      <c r="J131" s="4" t="inlineStr"/>
    </row>
    <row r="132">
      <c r="A132" s="4" t="inlineStr">
        <is>
          <t>BT-128</t>
        </is>
      </c>
      <c r="B132" s="4" t="inlineStr">
        <is>
          <t>BG-25 Invoice line</t>
        </is>
      </c>
      <c r="C132" s="4" t="inlineStr">
        <is>
          <t>Invoice line object identifier</t>
        </is>
      </c>
      <c r="D132" s="4" t="inlineStr">
        <is>
          <t>0..1</t>
        </is>
      </c>
      <c r="E132" s="7" t="inlineStr">
        <is>
          <t>O</t>
        </is>
      </c>
      <c r="F132" s="4" t="inlineStr"/>
      <c r="G132" s="4" t="inlineStr">
        <is>
          <t>Identifier</t>
        </is>
      </c>
      <c r="H132" s="4" t="inlineStr"/>
      <c r="I132" s="4" t="inlineStr"/>
      <c r="J132" s="4" t="inlineStr"/>
    </row>
    <row r="133">
      <c r="A133" s="4" t="inlineStr">
        <is>
          <t>BT-129</t>
        </is>
      </c>
      <c r="B133" s="4" t="inlineStr">
        <is>
          <t>BG-25 Invoice line</t>
        </is>
      </c>
      <c r="C133" s="4" t="inlineStr">
        <is>
          <t>Invoiced quantity</t>
        </is>
      </c>
      <c r="D133" s="4" t="inlineStr">
        <is>
          <t>1..1</t>
        </is>
      </c>
      <c r="E133" s="5" t="inlineStr">
        <is>
          <t>M</t>
        </is>
      </c>
      <c r="F133" s="4" t="inlineStr"/>
      <c r="G133" s="4" t="inlineStr">
        <is>
          <t>Decimal</t>
        </is>
      </c>
      <c r="H133" s="4" t="inlineStr">
        <is>
          <t>10</t>
        </is>
      </c>
      <c r="I133" s="4" t="inlineStr">
        <is>
          <t>Negative allowed only on credit-note lines per FTA.</t>
        </is>
      </c>
      <c r="J133" s="4" t="inlineStr"/>
    </row>
    <row r="134">
      <c r="A134" s="4" t="inlineStr">
        <is>
          <t>BT-130</t>
        </is>
      </c>
      <c r="B134" s="4" t="inlineStr">
        <is>
          <t>BG-25 Invoice line</t>
        </is>
      </c>
      <c r="C134" s="4" t="inlineStr">
        <is>
          <t>Invoiced quantity unit of measure</t>
        </is>
      </c>
      <c r="D134" s="4" t="inlineStr">
        <is>
          <t>1..1</t>
        </is>
      </c>
      <c r="E134" s="5" t="inlineStr">
        <is>
          <t>M</t>
        </is>
      </c>
      <c r="F134" s="4" t="inlineStr">
        <is>
          <t>UN/ECE Rec 20/21.</t>
        </is>
      </c>
      <c r="G134" s="4" t="inlineStr">
        <is>
          <t>Code</t>
        </is>
      </c>
      <c r="H134" s="4" t="inlineStr">
        <is>
          <t>C62</t>
        </is>
      </c>
      <c r="I134" s="4" t="inlineStr"/>
      <c r="J134" s="4" t="inlineStr"/>
    </row>
    <row r="135">
      <c r="A135" s="4" t="inlineStr">
        <is>
          <t>BT-131</t>
        </is>
      </c>
      <c r="B135" s="4" t="inlineStr">
        <is>
          <t>BG-25 Invoice line</t>
        </is>
      </c>
      <c r="C135" s="4" t="inlineStr">
        <is>
          <t>Invoice line net amount</t>
        </is>
      </c>
      <c r="D135" s="4" t="inlineStr">
        <is>
          <t>1..1</t>
        </is>
      </c>
      <c r="E135" s="5" t="inlineStr">
        <is>
          <t>M</t>
        </is>
      </c>
      <c r="F135" s="4" t="inlineStr">
        <is>
          <t>Line total before VAT.</t>
        </is>
      </c>
      <c r="G135" s="4" t="inlineStr">
        <is>
          <t>Amount, 2 dp (max 19 digits)</t>
        </is>
      </c>
      <c r="H135" s="4" t="inlineStr">
        <is>
          <t>1000.00</t>
        </is>
      </c>
      <c r="I135" s="4">
        <f> BT-129 x (BT-146 / BT-149) + charges - allowances.</f>
        <v/>
      </c>
      <c r="J135" s="4" t="inlineStr">
        <is>
          <t>See C1.</t>
        </is>
      </c>
    </row>
    <row r="136">
      <c r="A136" s="4" t="inlineStr">
        <is>
          <t>BT-132</t>
        </is>
      </c>
      <c r="B136" s="4" t="inlineStr">
        <is>
          <t>BG-25 Invoice line</t>
        </is>
      </c>
      <c r="C136" s="4" t="inlineStr">
        <is>
          <t>Referenced purchase order line</t>
        </is>
      </c>
      <c r="D136" s="4" t="inlineStr">
        <is>
          <t>0..1</t>
        </is>
      </c>
      <c r="E136" s="7" t="inlineStr">
        <is>
          <t>O</t>
        </is>
      </c>
      <c r="F136" s="4" t="inlineStr"/>
      <c r="G136" s="4" t="inlineStr">
        <is>
          <t>Identifier</t>
        </is>
      </c>
      <c r="H136" s="4" t="inlineStr">
        <is>
          <t>1</t>
        </is>
      </c>
      <c r="I136" s="4" t="inlineStr"/>
      <c r="J136" s="4" t="inlineStr"/>
    </row>
    <row r="137">
      <c r="A137" s="4" t="inlineStr">
        <is>
          <t>BT-133</t>
        </is>
      </c>
      <c r="B137" s="4" t="inlineStr">
        <is>
          <t>BG-25 Invoice line</t>
        </is>
      </c>
      <c r="C137" s="4" t="inlineStr">
        <is>
          <t>Line buyer accounting reference</t>
        </is>
      </c>
      <c r="D137" s="4" t="inlineStr">
        <is>
          <t>0..1</t>
        </is>
      </c>
      <c r="E137" s="7" t="inlineStr">
        <is>
          <t>O</t>
        </is>
      </c>
      <c r="F137" s="4" t="inlineStr"/>
      <c r="G137" s="4" t="inlineStr">
        <is>
          <t>Text</t>
        </is>
      </c>
      <c r="H137" s="4" t="inlineStr"/>
      <c r="I137" s="4" t="inlineStr"/>
      <c r="J137" s="4" t="inlineStr"/>
    </row>
    <row r="138">
      <c r="A138" s="4" t="inlineStr">
        <is>
          <t>BT-134</t>
        </is>
      </c>
      <c r="B138" s="4" t="inlineStr">
        <is>
          <t>BG-25 Invoice line</t>
        </is>
      </c>
      <c r="C138" s="4" t="inlineStr">
        <is>
          <t>Line period start date</t>
        </is>
      </c>
      <c r="D138" s="4" t="inlineStr">
        <is>
          <t>0..1</t>
        </is>
      </c>
      <c r="E138" s="7" t="inlineStr">
        <is>
          <t>O</t>
        </is>
      </c>
      <c r="F138" s="4" t="inlineStr"/>
      <c r="G138" s="4" t="inlineStr">
        <is>
          <t>Date YYYY-MM-DD</t>
        </is>
      </c>
      <c r="H138" s="4" t="inlineStr"/>
      <c r="I138" s="4" t="inlineStr">
        <is>
          <t>&lt;= BT-135.</t>
        </is>
      </c>
      <c r="J138" s="4" t="inlineStr"/>
    </row>
    <row r="139">
      <c r="A139" s="4" t="inlineStr">
        <is>
          <t>BT-135</t>
        </is>
      </c>
      <c r="B139" s="4" t="inlineStr">
        <is>
          <t>BG-25 Invoice line</t>
        </is>
      </c>
      <c r="C139" s="4" t="inlineStr">
        <is>
          <t>Line period end date</t>
        </is>
      </c>
      <c r="D139" s="4" t="inlineStr">
        <is>
          <t>0..1</t>
        </is>
      </c>
      <c r="E139" s="7" t="inlineStr">
        <is>
          <t>O</t>
        </is>
      </c>
      <c r="F139" s="4" t="inlineStr"/>
      <c r="G139" s="4" t="inlineStr">
        <is>
          <t>Date YYYY-MM-DD</t>
        </is>
      </c>
      <c r="H139" s="4" t="inlineStr"/>
      <c r="I139" s="4" t="inlineStr"/>
      <c r="J139" s="4" t="inlineStr"/>
    </row>
    <row r="140">
      <c r="A140" s="4" t="inlineStr">
        <is>
          <t>BT-136</t>
        </is>
      </c>
      <c r="B140" s="4" t="inlineStr">
        <is>
          <t>BG-25 Invoice line</t>
        </is>
      </c>
      <c r="C140" s="4" t="inlineStr">
        <is>
          <t>Line allowance amount</t>
        </is>
      </c>
      <c r="D140" s="4" t="inlineStr">
        <is>
          <t>1..1</t>
        </is>
      </c>
      <c r="E140" s="6" t="inlineStr">
        <is>
          <t>CM</t>
        </is>
      </c>
      <c r="F140" s="4" t="inlineStr"/>
      <c r="G140" s="4" t="inlineStr">
        <is>
          <t>Amount, 2 dp (max 19 digits)</t>
        </is>
      </c>
      <c r="H140" s="4" t="inlineStr">
        <is>
          <t>10.00</t>
        </is>
      </c>
      <c r="I140" s="4" t="inlineStr"/>
      <c r="J140" s="4" t="inlineStr">
        <is>
          <t>Mandatory if BG-27 present.</t>
        </is>
      </c>
    </row>
    <row r="141">
      <c r="A141" s="4" t="inlineStr">
        <is>
          <t>BT-137</t>
        </is>
      </c>
      <c r="B141" s="4" t="inlineStr">
        <is>
          <t>BG-25 Invoice line</t>
        </is>
      </c>
      <c r="C141" s="4" t="inlineStr">
        <is>
          <t>Line allowance base amount</t>
        </is>
      </c>
      <c r="D141" s="4" t="inlineStr">
        <is>
          <t>0..1</t>
        </is>
      </c>
      <c r="E141" s="7" t="inlineStr">
        <is>
          <t>O</t>
        </is>
      </c>
      <c r="F141" s="4" t="inlineStr"/>
      <c r="G141" s="4" t="inlineStr">
        <is>
          <t>Amount, 2 dp (max 19 digits)</t>
        </is>
      </c>
      <c r="H141" s="4" t="inlineStr"/>
      <c r="I141" s="4" t="inlineStr"/>
      <c r="J141" s="4" t="inlineStr"/>
    </row>
    <row r="142">
      <c r="A142" s="4" t="inlineStr">
        <is>
          <t>BT-138</t>
        </is>
      </c>
      <c r="B142" s="4" t="inlineStr">
        <is>
          <t>BG-25 Invoice line</t>
        </is>
      </c>
      <c r="C142" s="4" t="inlineStr">
        <is>
          <t>Line allowance percentage</t>
        </is>
      </c>
      <c r="D142" s="4" t="inlineStr">
        <is>
          <t>0..1</t>
        </is>
      </c>
      <c r="E142" s="7" t="inlineStr">
        <is>
          <t>O</t>
        </is>
      </c>
      <c r="F142" s="4" t="inlineStr"/>
      <c r="G142" s="4" t="inlineStr">
        <is>
          <t>Decimal %</t>
        </is>
      </c>
      <c r="H142" s="4" t="inlineStr"/>
      <c r="I142" s="4" t="inlineStr"/>
      <c r="J142" s="4" t="inlineStr"/>
    </row>
    <row r="143">
      <c r="A143" s="4" t="inlineStr">
        <is>
          <t>BT-139</t>
        </is>
      </c>
      <c r="B143" s="4" t="inlineStr">
        <is>
          <t>BG-25 Invoice line</t>
        </is>
      </c>
      <c r="C143" s="4" t="inlineStr">
        <is>
          <t>Line allowance reason</t>
        </is>
      </c>
      <c r="D143" s="4" t="inlineStr">
        <is>
          <t>0..1</t>
        </is>
      </c>
      <c r="E143" s="6" t="inlineStr">
        <is>
          <t>CM</t>
        </is>
      </c>
      <c r="F143" s="4" t="inlineStr"/>
      <c r="G143" s="4" t="inlineStr">
        <is>
          <t>Text</t>
        </is>
      </c>
      <c r="H143" s="4" t="inlineStr"/>
      <c r="I143" s="4" t="inlineStr"/>
      <c r="J143" s="4" t="inlineStr">
        <is>
          <t>Either BT-139 or BT-140 if BG-27 present.</t>
        </is>
      </c>
    </row>
    <row r="144">
      <c r="A144" s="4" t="inlineStr">
        <is>
          <t>BT-140</t>
        </is>
      </c>
      <c r="B144" s="4" t="inlineStr">
        <is>
          <t>BG-25 Invoice line</t>
        </is>
      </c>
      <c r="C144" s="4" t="inlineStr">
        <is>
          <t>Line allowance reason code</t>
        </is>
      </c>
      <c r="D144" s="4" t="inlineStr">
        <is>
          <t>0..1</t>
        </is>
      </c>
      <c r="E144" s="6" t="inlineStr">
        <is>
          <t>CM</t>
        </is>
      </c>
      <c r="F144" s="4" t="inlineStr"/>
      <c r="G144" s="4" t="inlineStr">
        <is>
          <t>Code</t>
        </is>
      </c>
      <c r="H144" s="4" t="inlineStr"/>
      <c r="I144" s="4" t="inlineStr"/>
      <c r="J144" s="4" t="inlineStr">
        <is>
          <t>Either BT-139 or BT-140.</t>
        </is>
      </c>
    </row>
    <row r="145">
      <c r="A145" s="4" t="inlineStr">
        <is>
          <t>BT-141</t>
        </is>
      </c>
      <c r="B145" s="4" t="inlineStr">
        <is>
          <t>BG-25 Invoice line</t>
        </is>
      </c>
      <c r="C145" s="4" t="inlineStr">
        <is>
          <t>Line charge amount</t>
        </is>
      </c>
      <c r="D145" s="4" t="inlineStr">
        <is>
          <t>1..1</t>
        </is>
      </c>
      <c r="E145" s="6" t="inlineStr">
        <is>
          <t>CM</t>
        </is>
      </c>
      <c r="F145" s="4" t="inlineStr"/>
      <c r="G145" s="4" t="inlineStr">
        <is>
          <t>Amount, 2 dp (max 19 digits)</t>
        </is>
      </c>
      <c r="H145" s="4" t="inlineStr">
        <is>
          <t>5.00</t>
        </is>
      </c>
      <c r="I145" s="4" t="inlineStr"/>
      <c r="J145" s="4" t="inlineStr">
        <is>
          <t>Mandatory if BG-28 present.</t>
        </is>
      </c>
    </row>
    <row r="146">
      <c r="A146" s="4" t="inlineStr">
        <is>
          <t>BT-142</t>
        </is>
      </c>
      <c r="B146" s="4" t="inlineStr">
        <is>
          <t>BG-25 Invoice line</t>
        </is>
      </c>
      <c r="C146" s="4" t="inlineStr">
        <is>
          <t>Line charge base amount</t>
        </is>
      </c>
      <c r="D146" s="4" t="inlineStr">
        <is>
          <t>0..1</t>
        </is>
      </c>
      <c r="E146" s="7" t="inlineStr">
        <is>
          <t>O</t>
        </is>
      </c>
      <c r="F146" s="4" t="inlineStr"/>
      <c r="G146" s="4" t="inlineStr">
        <is>
          <t>Amount, 2 dp (max 19 digits)</t>
        </is>
      </c>
      <c r="H146" s="4" t="inlineStr"/>
      <c r="I146" s="4" t="inlineStr"/>
      <c r="J146" s="4" t="inlineStr"/>
    </row>
    <row r="147">
      <c r="A147" s="4" t="inlineStr">
        <is>
          <t>BT-143</t>
        </is>
      </c>
      <c r="B147" s="4" t="inlineStr">
        <is>
          <t>BG-25 Invoice line</t>
        </is>
      </c>
      <c r="C147" s="4" t="inlineStr">
        <is>
          <t>Line charge percentage</t>
        </is>
      </c>
      <c r="D147" s="4" t="inlineStr">
        <is>
          <t>0..1</t>
        </is>
      </c>
      <c r="E147" s="7" t="inlineStr">
        <is>
          <t>O</t>
        </is>
      </c>
      <c r="F147" s="4" t="inlineStr"/>
      <c r="G147" s="4" t="inlineStr">
        <is>
          <t>Decimal %</t>
        </is>
      </c>
      <c r="H147" s="4" t="inlineStr"/>
      <c r="I147" s="4" t="inlineStr"/>
      <c r="J147" s="4" t="inlineStr"/>
    </row>
    <row r="148">
      <c r="A148" s="4" t="inlineStr">
        <is>
          <t>BT-144</t>
        </is>
      </c>
      <c r="B148" s="4" t="inlineStr">
        <is>
          <t>BG-25 Invoice line</t>
        </is>
      </c>
      <c r="C148" s="4" t="inlineStr">
        <is>
          <t>Line charge reason</t>
        </is>
      </c>
      <c r="D148" s="4" t="inlineStr">
        <is>
          <t>0..1</t>
        </is>
      </c>
      <c r="E148" s="6" t="inlineStr">
        <is>
          <t>CM</t>
        </is>
      </c>
      <c r="F148" s="4" t="inlineStr"/>
      <c r="G148" s="4" t="inlineStr">
        <is>
          <t>Text</t>
        </is>
      </c>
      <c r="H148" s="4" t="inlineStr"/>
      <c r="I148" s="4" t="inlineStr"/>
      <c r="J148" s="4" t="inlineStr">
        <is>
          <t>Either BT-144 or BT-145 if BG-28 present.</t>
        </is>
      </c>
    </row>
    <row r="149">
      <c r="A149" s="4" t="inlineStr">
        <is>
          <t>BT-145</t>
        </is>
      </c>
      <c r="B149" s="4" t="inlineStr">
        <is>
          <t>BG-25 Invoice line</t>
        </is>
      </c>
      <c r="C149" s="4" t="inlineStr">
        <is>
          <t>Line charge reason code</t>
        </is>
      </c>
      <c r="D149" s="4" t="inlineStr">
        <is>
          <t>0..1</t>
        </is>
      </c>
      <c r="E149" s="6" t="inlineStr">
        <is>
          <t>CM</t>
        </is>
      </c>
      <c r="F149" s="4" t="inlineStr"/>
      <c r="G149" s="4" t="inlineStr">
        <is>
          <t>Code</t>
        </is>
      </c>
      <c r="H149" s="4" t="inlineStr"/>
      <c r="I149" s="4" t="inlineStr"/>
      <c r="J149" s="4" t="inlineStr">
        <is>
          <t>Either BT-144 or BT-145.</t>
        </is>
      </c>
    </row>
    <row r="150">
      <c r="A150" s="4" t="inlineStr">
        <is>
          <t>BT-146</t>
        </is>
      </c>
      <c r="B150" s="4" t="inlineStr">
        <is>
          <t>BG-25 Invoice line</t>
        </is>
      </c>
      <c r="C150" s="4" t="inlineStr">
        <is>
          <t>Item net price</t>
        </is>
      </c>
      <c r="D150" s="4" t="inlineStr">
        <is>
          <t>1..1</t>
        </is>
      </c>
      <c r="E150" s="5" t="inlineStr">
        <is>
          <t>M</t>
        </is>
      </c>
      <c r="F150" s="4" t="inlineStr">
        <is>
          <t>Unit price after discount, excl. VAT.</t>
        </is>
      </c>
      <c r="G150" s="4" t="inlineStr">
        <is>
          <t>Amount, up to 4 dp</t>
        </is>
      </c>
      <c r="H150" s="4" t="inlineStr">
        <is>
          <t>100.00</t>
        </is>
      </c>
      <c r="I150" s="4">
        <f> BT-148 - BT-147 when those are given. Not negative.</f>
        <v/>
      </c>
      <c r="J150" s="4" t="inlineStr">
        <is>
          <t>See C2.</t>
        </is>
      </c>
    </row>
    <row r="151">
      <c r="A151" s="4" t="inlineStr">
        <is>
          <t>BT-147</t>
        </is>
      </c>
      <c r="B151" s="4" t="inlineStr">
        <is>
          <t>BG-25 Invoice line</t>
        </is>
      </c>
      <c r="C151" s="4" t="inlineStr">
        <is>
          <t>Item price discount</t>
        </is>
      </c>
      <c r="D151" s="4" t="inlineStr">
        <is>
          <t>0..1</t>
        </is>
      </c>
      <c r="E151" s="7" t="inlineStr">
        <is>
          <t>O</t>
        </is>
      </c>
      <c r="F151" s="4" t="inlineStr"/>
      <c r="G151" s="4" t="inlineStr">
        <is>
          <t>Amount</t>
        </is>
      </c>
      <c r="H151" s="4" t="inlineStr">
        <is>
          <t>0.00</t>
        </is>
      </c>
      <c r="I151" s="4" t="inlineStr"/>
      <c r="J151" s="4" t="inlineStr"/>
    </row>
    <row r="152">
      <c r="A152" s="4" t="inlineStr">
        <is>
          <t>BT-148</t>
        </is>
      </c>
      <c r="B152" s="4" t="inlineStr">
        <is>
          <t>BG-25 Invoice line</t>
        </is>
      </c>
      <c r="C152" s="4" t="inlineStr">
        <is>
          <t>Item gross price</t>
        </is>
      </c>
      <c r="D152" s="4" t="inlineStr">
        <is>
          <t>0..1</t>
        </is>
      </c>
      <c r="E152" s="7" t="inlineStr">
        <is>
          <t>O</t>
        </is>
      </c>
      <c r="F152" s="4" t="inlineStr"/>
      <c r="G152" s="4" t="inlineStr">
        <is>
          <t>Amount</t>
        </is>
      </c>
      <c r="H152" s="4" t="inlineStr">
        <is>
          <t>100.00</t>
        </is>
      </c>
      <c r="I152" s="4" t="inlineStr">
        <is>
          <t>Not negative.</t>
        </is>
      </c>
      <c r="J152" s="4" t="inlineStr"/>
    </row>
    <row r="153">
      <c r="A153" s="4" t="inlineStr">
        <is>
          <t>BT-149</t>
        </is>
      </c>
      <c r="B153" s="4" t="inlineStr">
        <is>
          <t>BG-25 Invoice line</t>
        </is>
      </c>
      <c r="C153" s="4" t="inlineStr">
        <is>
          <t>Item price base quantity</t>
        </is>
      </c>
      <c r="D153" s="4" t="inlineStr">
        <is>
          <t>0..1</t>
        </is>
      </c>
      <c r="E153" s="7" t="inlineStr">
        <is>
          <t>O</t>
        </is>
      </c>
      <c r="F153" s="4" t="inlineStr">
        <is>
          <t>Number of units the price refers to.</t>
        </is>
      </c>
      <c r="G153" s="4" t="inlineStr">
        <is>
          <t>Decimal</t>
        </is>
      </c>
      <c r="H153" s="4" t="inlineStr">
        <is>
          <t>1</t>
        </is>
      </c>
      <c r="I153" s="4" t="inlineStr">
        <is>
          <t>Default 1; &gt; 0.</t>
        </is>
      </c>
      <c r="J153" s="4" t="inlineStr"/>
    </row>
    <row r="154">
      <c r="A154" s="4" t="inlineStr">
        <is>
          <t>BT-150</t>
        </is>
      </c>
      <c r="B154" s="4" t="inlineStr">
        <is>
          <t>BG-25 Invoice line</t>
        </is>
      </c>
      <c r="C154" s="4" t="inlineStr">
        <is>
          <t>Item price base quantity unit code</t>
        </is>
      </c>
      <c r="D154" s="4" t="inlineStr">
        <is>
          <t>0..1</t>
        </is>
      </c>
      <c r="E154" s="6" t="inlineStr">
        <is>
          <t>CM</t>
        </is>
      </c>
      <c r="F154" s="4" t="inlineStr"/>
      <c r="G154" s="4" t="inlineStr">
        <is>
          <t>Code</t>
        </is>
      </c>
      <c r="H154" s="4" t="inlineStr">
        <is>
          <t>C62</t>
        </is>
      </c>
      <c r="I154" s="4" t="inlineStr"/>
      <c r="J154" s="4" t="inlineStr">
        <is>
          <t>Mandatory if BT-149 present; must equal BT-130.</t>
        </is>
      </c>
    </row>
    <row r="155">
      <c r="A155" s="4" t="inlineStr">
        <is>
          <t>BT-151</t>
        </is>
      </c>
      <c r="B155" s="4" t="inlineStr">
        <is>
          <t>BG-25 Invoice line</t>
        </is>
      </c>
      <c r="C155" s="4" t="inlineStr">
        <is>
          <t>Invoiced item VAT category code</t>
        </is>
      </c>
      <c r="D155" s="4" t="inlineStr">
        <is>
          <t>1..1</t>
        </is>
      </c>
      <c r="E155" s="5" t="inlineStr">
        <is>
          <t>M</t>
        </is>
      </c>
      <c r="F155" s="4" t="inlineStr"/>
      <c r="G155" s="4" t="inlineStr">
        <is>
          <t>Code</t>
        </is>
      </c>
      <c r="H155" s="4" t="inlineStr">
        <is>
          <t>S</t>
        </is>
      </c>
      <c r="I155" s="4" t="inlineStr">
        <is>
          <t>S, Z, E, O.</t>
        </is>
      </c>
      <c r="J155" s="4" t="inlineStr">
        <is>
          <t>Must have a matching BG-23.</t>
        </is>
      </c>
    </row>
    <row r="156">
      <c r="A156" s="4" t="inlineStr">
        <is>
          <t>BT-152</t>
        </is>
      </c>
      <c r="B156" s="4" t="inlineStr">
        <is>
          <t>BG-25 Invoice line</t>
        </is>
      </c>
      <c r="C156" s="4" t="inlineStr">
        <is>
          <t>Invoiced item VAT rate</t>
        </is>
      </c>
      <c r="D156" s="4" t="inlineStr">
        <is>
          <t>0..1</t>
        </is>
      </c>
      <c r="E156" s="6" t="inlineStr">
        <is>
          <t>CM</t>
        </is>
      </c>
      <c r="F156" s="4" t="inlineStr"/>
      <c r="G156" s="4" t="inlineStr">
        <is>
          <t>Decimal %</t>
        </is>
      </c>
      <c r="H156" s="4" t="inlineStr">
        <is>
          <t>5</t>
        </is>
      </c>
      <c r="I156" s="4" t="inlineStr"/>
      <c r="J156" s="4" t="inlineStr">
        <is>
          <t>Mandatory when BT-151 = S or Z.</t>
        </is>
      </c>
    </row>
    <row r="157">
      <c r="A157" s="4" t="inlineStr">
        <is>
          <t>BT-153</t>
        </is>
      </c>
      <c r="B157" s="4" t="inlineStr">
        <is>
          <t>BG-25 Invoice line</t>
        </is>
      </c>
      <c r="C157" s="4" t="inlineStr">
        <is>
          <t>Item name</t>
        </is>
      </c>
      <c r="D157" s="4" t="inlineStr">
        <is>
          <t>1..1</t>
        </is>
      </c>
      <c r="E157" s="5" t="inlineStr">
        <is>
          <t>M</t>
        </is>
      </c>
      <c r="F157" s="4" t="inlineStr"/>
      <c r="G157" s="4" t="inlineStr">
        <is>
          <t>Text</t>
        </is>
      </c>
      <c r="H157" s="4" t="inlineStr">
        <is>
          <t>Office chair</t>
        </is>
      </c>
      <c r="I157" s="4" t="inlineStr"/>
      <c r="J157" s="4" t="inlineStr"/>
    </row>
    <row r="158">
      <c r="A158" s="4" t="inlineStr">
        <is>
          <t>BT-154</t>
        </is>
      </c>
      <c r="B158" s="4" t="inlineStr">
        <is>
          <t>BG-25 Invoice line</t>
        </is>
      </c>
      <c r="C158" s="4" t="inlineStr">
        <is>
          <t>Item description</t>
        </is>
      </c>
      <c r="D158" s="4" t="inlineStr">
        <is>
          <t>0..1</t>
        </is>
      </c>
      <c r="E158" s="7" t="inlineStr">
        <is>
          <t>O</t>
        </is>
      </c>
      <c r="F158" s="4" t="inlineStr"/>
      <c r="G158" s="4" t="inlineStr">
        <is>
          <t>Text</t>
        </is>
      </c>
      <c r="H158" s="4" t="inlineStr"/>
      <c r="I158" s="4" t="inlineStr"/>
      <c r="J158" s="4" t="inlineStr"/>
    </row>
    <row r="159">
      <c r="A159" s="4" t="inlineStr">
        <is>
          <t>BT-155</t>
        </is>
      </c>
      <c r="B159" s="4" t="inlineStr">
        <is>
          <t>BG-25 Invoice line</t>
        </is>
      </c>
      <c r="C159" s="4" t="inlineStr">
        <is>
          <t>Item seller's identifier</t>
        </is>
      </c>
      <c r="D159" s="4" t="inlineStr">
        <is>
          <t>0..1</t>
        </is>
      </c>
      <c r="E159" s="7" t="inlineStr">
        <is>
          <t>O</t>
        </is>
      </c>
      <c r="F159" s="4" t="inlineStr">
        <is>
          <t>SKU.</t>
        </is>
      </c>
      <c r="G159" s="4" t="inlineStr">
        <is>
          <t>Identifier</t>
        </is>
      </c>
      <c r="H159" s="4" t="inlineStr">
        <is>
          <t>SKU-1</t>
        </is>
      </c>
      <c r="I159" s="4" t="inlineStr"/>
      <c r="J159" s="4" t="inlineStr"/>
    </row>
    <row r="160">
      <c r="A160" s="4" t="inlineStr">
        <is>
          <t>BT-156</t>
        </is>
      </c>
      <c r="B160" s="4" t="inlineStr">
        <is>
          <t>BG-25 Invoice line</t>
        </is>
      </c>
      <c r="C160" s="4" t="inlineStr">
        <is>
          <t>Item buyer's identifier</t>
        </is>
      </c>
      <c r="D160" s="4" t="inlineStr">
        <is>
          <t>0..1</t>
        </is>
      </c>
      <c r="E160" s="7" t="inlineStr">
        <is>
          <t>O</t>
        </is>
      </c>
      <c r="F160" s="4" t="inlineStr"/>
      <c r="G160" s="4" t="inlineStr">
        <is>
          <t>Identifier</t>
        </is>
      </c>
      <c r="H160" s="4" t="inlineStr"/>
      <c r="I160" s="4" t="inlineStr"/>
      <c r="J160" s="4" t="inlineStr"/>
    </row>
    <row r="161">
      <c r="A161" s="4" t="inlineStr">
        <is>
          <t>BT-157</t>
        </is>
      </c>
      <c r="B161" s="4" t="inlineStr">
        <is>
          <t>BG-25 Invoice line</t>
        </is>
      </c>
      <c r="C161" s="4" t="inlineStr">
        <is>
          <t>Item standard identifier</t>
        </is>
      </c>
      <c r="D161" s="4" t="inlineStr">
        <is>
          <t>0..1</t>
        </is>
      </c>
      <c r="E161" s="7" t="inlineStr">
        <is>
          <t>O</t>
        </is>
      </c>
      <c r="F161" s="4" t="inlineStr">
        <is>
          <t>GTIN etc.; scheme attribute mandatory.</t>
        </is>
      </c>
      <c r="G161" s="4" t="inlineStr">
        <is>
          <t>Identifier</t>
        </is>
      </c>
      <c r="H161" s="4" t="inlineStr">
        <is>
          <t>6291041500213 (0160)</t>
        </is>
      </c>
      <c r="I161" s="4" t="inlineStr"/>
      <c r="J161" s="4" t="inlineStr"/>
    </row>
    <row r="162">
      <c r="A162" s="4" t="inlineStr">
        <is>
          <t>BT-158</t>
        </is>
      </c>
      <c r="B162" s="4" t="inlineStr">
        <is>
          <t>BG-25 Invoice line</t>
        </is>
      </c>
      <c r="C162" s="4" t="inlineStr">
        <is>
          <t>Item classification identifier</t>
        </is>
      </c>
      <c r="D162" s="4" t="inlineStr">
        <is>
          <t>0..n</t>
        </is>
      </c>
      <c r="E162" s="7" t="inlineStr">
        <is>
          <t>O</t>
        </is>
      </c>
      <c r="F162" s="4" t="inlineStr">
        <is>
          <t>HS code/UNSPSC; list ID mandatory.</t>
        </is>
      </c>
      <c r="G162" s="4" t="inlineStr">
        <is>
          <t>Identifier</t>
        </is>
      </c>
      <c r="H162" s="4" t="inlineStr">
        <is>
          <t>940130 (HS)</t>
        </is>
      </c>
      <c r="I162" s="4" t="inlineStr"/>
      <c r="J162" s="4" t="inlineStr">
        <is>
          <t>HS code advised for goods/exports.</t>
        </is>
      </c>
    </row>
    <row r="163">
      <c r="A163" s="4" t="inlineStr">
        <is>
          <t>BT-159</t>
        </is>
      </c>
      <c r="B163" s="4" t="inlineStr">
        <is>
          <t>BG-25 Invoice line</t>
        </is>
      </c>
      <c r="C163" s="4" t="inlineStr">
        <is>
          <t>Item country of origin</t>
        </is>
      </c>
      <c r="D163" s="4" t="inlineStr">
        <is>
          <t>0..1</t>
        </is>
      </c>
      <c r="E163" s="7" t="inlineStr">
        <is>
          <t>O</t>
        </is>
      </c>
      <c r="F163" s="4" t="inlineStr"/>
      <c r="G163" s="4" t="inlineStr">
        <is>
          <t>Code</t>
        </is>
      </c>
      <c r="H163" s="4" t="inlineStr">
        <is>
          <t>AE</t>
        </is>
      </c>
      <c r="I163" s="4" t="inlineStr"/>
      <c r="J163" s="4" t="inlineStr"/>
    </row>
    <row r="164">
      <c r="A164" s="4" t="inlineStr">
        <is>
          <t>BT-160</t>
        </is>
      </c>
      <c r="B164" s="4" t="inlineStr">
        <is>
          <t>BG-25 Invoice line</t>
        </is>
      </c>
      <c r="C164" s="4" t="inlineStr">
        <is>
          <t>Item attribute name</t>
        </is>
      </c>
      <c r="D164" s="4" t="inlineStr">
        <is>
          <t>0..n</t>
        </is>
      </c>
      <c r="E164" s="6" t="inlineStr">
        <is>
          <t>CM</t>
        </is>
      </c>
      <c r="F164" s="4" t="inlineStr"/>
      <c r="G164" s="4" t="inlineStr">
        <is>
          <t>Text</t>
        </is>
      </c>
      <c r="H164" s="4" t="inlineStr">
        <is>
          <t>Colour</t>
        </is>
      </c>
      <c r="I164" s="4" t="inlineStr"/>
      <c r="J164" s="4" t="inlineStr">
        <is>
          <t>Mandatory if BT-161 present.</t>
        </is>
      </c>
    </row>
    <row r="165">
      <c r="A165" s="4" t="inlineStr">
        <is>
          <t>BT-161</t>
        </is>
      </c>
      <c r="B165" s="4" t="inlineStr">
        <is>
          <t>BG-25 Invoice line</t>
        </is>
      </c>
      <c r="C165" s="4" t="inlineStr">
        <is>
          <t>Item attribute value</t>
        </is>
      </c>
      <c r="D165" s="4" t="inlineStr">
        <is>
          <t>0..n</t>
        </is>
      </c>
      <c r="E165" s="6" t="inlineStr">
        <is>
          <t>CM</t>
        </is>
      </c>
      <c r="F165" s="4" t="inlineStr"/>
      <c r="G165" s="4" t="inlineStr">
        <is>
          <t>Text</t>
        </is>
      </c>
      <c r="H165" s="4" t="inlineStr">
        <is>
          <t>Black</t>
        </is>
      </c>
      <c r="I165" s="4" t="inlineStr"/>
      <c r="J165" s="4" t="inlineStr">
        <is>
          <t>Mandatory if BT-160 present.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80" customWidth="1" min="4" max="4"/>
    <col width="40" customWidth="1" min="5" max="5"/>
  </cols>
  <sheetData>
    <row r="1">
      <c r="A1" s="3" t="inlineStr">
        <is>
          <t>#</t>
        </is>
      </c>
      <c r="B1" s="3" t="inlineStr">
        <is>
          <t>Calculation</t>
        </is>
      </c>
      <c r="C1" s="3" t="inlineStr">
        <is>
          <t>Field</t>
        </is>
      </c>
      <c r="D1" s="3" t="inlineStr">
        <is>
          <t>Formula</t>
        </is>
      </c>
      <c r="E1" s="3" t="inlineStr">
        <is>
          <t>Note</t>
        </is>
      </c>
    </row>
    <row r="2">
      <c r="A2" s="4" t="inlineStr">
        <is>
          <t>C1</t>
        </is>
      </c>
      <c r="B2" s="4" t="inlineStr">
        <is>
          <t>Line net amount</t>
        </is>
      </c>
      <c r="C2" s="4" t="inlineStr">
        <is>
          <t>BT-131</t>
        </is>
      </c>
      <c r="D2" s="4" t="inlineStr">
        <is>
          <t>BT-131 = BT-129 x (BT-146 / BT-149) + sum(BT-141) - sum(BT-136)</t>
        </is>
      </c>
      <c r="E2" s="4" t="inlineStr">
        <is>
          <t>If BT-149 absent use 1.</t>
        </is>
      </c>
    </row>
    <row r="3">
      <c r="A3" s="4" t="inlineStr">
        <is>
          <t>C2</t>
        </is>
      </c>
      <c r="B3" s="4" t="inlineStr">
        <is>
          <t>Item net price</t>
        </is>
      </c>
      <c r="C3" s="4" t="inlineStr">
        <is>
          <t>BT-146</t>
        </is>
      </c>
      <c r="D3" s="4" t="inlineStr">
        <is>
          <t>BT-146 = BT-148 - BT-147</t>
        </is>
      </c>
      <c r="E3" s="4" t="inlineStr">
        <is>
          <t>Only when gross price is given.</t>
        </is>
      </c>
    </row>
    <row r="4">
      <c r="A4" s="4" t="inlineStr">
        <is>
          <t>C3</t>
        </is>
      </c>
      <c r="B4" s="4" t="inlineStr">
        <is>
          <t>Allowance amount (line/doc)</t>
        </is>
      </c>
      <c r="C4" s="4" t="inlineStr">
        <is>
          <t>BT-136 / BT-92</t>
        </is>
      </c>
      <c r="D4" s="4" t="inlineStr">
        <is>
          <t>amount = base x percentage / 100</t>
        </is>
      </c>
      <c r="E4" s="4" t="inlineStr">
        <is>
          <t>Only when base and % are both given.</t>
        </is>
      </c>
    </row>
    <row r="5">
      <c r="A5" s="4" t="inlineStr">
        <is>
          <t>C4</t>
        </is>
      </c>
      <c r="B5" s="4" t="inlineStr">
        <is>
          <t>Charge amount (line/doc)</t>
        </is>
      </c>
      <c r="C5" s="4" t="inlineStr">
        <is>
          <t>BT-141 / BT-99</t>
        </is>
      </c>
      <c r="D5" s="4" t="inlineStr">
        <is>
          <t>amount = base x percentage / 100</t>
        </is>
      </c>
      <c r="E5" s="4" t="inlineStr">
        <is>
          <t>Same.</t>
        </is>
      </c>
    </row>
    <row r="6">
      <c r="A6" s="4" t="inlineStr">
        <is>
          <t>C5</t>
        </is>
      </c>
      <c r="B6" s="4" t="inlineStr">
        <is>
          <t>VAT taxable amount per category</t>
        </is>
      </c>
      <c r="C6" s="4" t="inlineStr">
        <is>
          <t>BT-116</t>
        </is>
      </c>
      <c r="D6" s="4">
        <f> sum(BT-131 of lines in category+rate) - sum(BT-92 same category+rate) + sum(BT-99 same category+rate)</f>
        <v/>
      </c>
      <c r="E6" s="4" t="inlineStr">
        <is>
          <t>One breakdown per category+rate.</t>
        </is>
      </c>
    </row>
    <row r="7">
      <c r="A7" s="4" t="inlineStr">
        <is>
          <t>C6</t>
        </is>
      </c>
      <c r="B7" s="4" t="inlineStr">
        <is>
          <t>VAT amount per category</t>
        </is>
      </c>
      <c r="C7" s="4" t="inlineStr">
        <is>
          <t>BT-117</t>
        </is>
      </c>
      <c r="D7" s="4">
        <f> ROUND(BT-116 x BT-119 / 100, 2)</f>
        <v/>
      </c>
      <c r="E7" s="4" t="inlineStr">
        <is>
          <t>Z/E/O rate = 0.</t>
        </is>
      </c>
    </row>
    <row r="8">
      <c r="A8" s="4" t="inlineStr">
        <is>
          <t>C7</t>
        </is>
      </c>
      <c r="B8" s="4" t="inlineStr">
        <is>
          <t>Sum of line net</t>
        </is>
      </c>
      <c r="C8" s="4" t="inlineStr">
        <is>
          <t>BT-106</t>
        </is>
      </c>
      <c r="D8" s="4">
        <f> sum(BT-131)</f>
        <v/>
      </c>
      <c r="E8" s="4" t="inlineStr"/>
    </row>
    <row r="9">
      <c r="A9" s="4" t="inlineStr">
        <is>
          <t>C8</t>
        </is>
      </c>
      <c r="B9" s="4" t="inlineStr">
        <is>
          <t>Total without VAT</t>
        </is>
      </c>
      <c r="C9" s="4" t="inlineStr">
        <is>
          <t>BT-109</t>
        </is>
      </c>
      <c r="D9" s="4">
        <f> BT-106 - BT-107 + BT-108</f>
        <v/>
      </c>
      <c r="E9" s="4" t="inlineStr">
        <is>
          <t>Must equal sum(BT-116).</t>
        </is>
      </c>
    </row>
    <row r="10">
      <c r="A10" s="4" t="inlineStr">
        <is>
          <t>C9</t>
        </is>
      </c>
      <c r="B10" s="4" t="inlineStr">
        <is>
          <t>Total VAT</t>
        </is>
      </c>
      <c r="C10" s="4" t="inlineStr">
        <is>
          <t>BT-110</t>
        </is>
      </c>
      <c r="D10" s="4">
        <f> sum(BT-117)</f>
        <v/>
      </c>
      <c r="E10" s="4" t="inlineStr"/>
    </row>
    <row r="11">
      <c r="A11" s="4" t="inlineStr">
        <is>
          <t>C10</t>
        </is>
      </c>
      <c r="B11" s="4" t="inlineStr">
        <is>
          <t>Total with VAT</t>
        </is>
      </c>
      <c r="C11" s="4" t="inlineStr">
        <is>
          <t>BT-112</t>
        </is>
      </c>
      <c r="D11" s="4">
        <f> BT-109 + BT-110</f>
        <v/>
      </c>
      <c r="E11" s="4" t="inlineStr"/>
    </row>
    <row r="12">
      <c r="A12" s="4" t="inlineStr">
        <is>
          <t>C11</t>
        </is>
      </c>
      <c r="B12" s="4" t="inlineStr">
        <is>
          <t>Amount due</t>
        </is>
      </c>
      <c r="C12" s="4" t="inlineStr">
        <is>
          <t>BT-115</t>
        </is>
      </c>
      <c r="D12" s="4">
        <f> BT-112 - BT-113 + BT-114</f>
        <v/>
      </c>
      <c r="E12" s="4" t="inlineStr"/>
    </row>
    <row r="13">
      <c r="A13" s="4" t="inlineStr">
        <is>
          <t>C12</t>
        </is>
      </c>
      <c r="B13" s="4" t="inlineStr">
        <is>
          <t>VAT in AED</t>
        </is>
      </c>
      <c r="C13" s="4" t="inlineStr">
        <is>
          <t>BT-111</t>
        </is>
      </c>
      <c r="D13" s="4">
        <f> ROUND(BT-110 x exchange rate, 2)</f>
        <v/>
      </c>
      <c r="E13" s="4" t="inlineStr">
        <is>
          <t>When BT-5 &lt;&gt; AED.</t>
        </is>
      </c>
    </row>
    <row r="14">
      <c r="A14" s="4" t="inlineStr">
        <is>
          <t>C13</t>
        </is>
      </c>
      <c r="B14" s="4" t="inlineStr">
        <is>
          <t>Cross-check</t>
        </is>
      </c>
      <c r="C14" s="4" t="inlineStr">
        <is>
          <t>BT-109 vs BT-116</t>
        </is>
      </c>
      <c r="D14" s="4" t="inlineStr">
        <is>
          <t>BT-109 = sum(BT-116) and BT-110 = sum(BT-117)</t>
        </is>
      </c>
      <c r="E14" s="4" t="inlineStr">
        <is>
          <t>Rounding differences are rejected.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8" t="inlineStr">
        <is>
          <t>Worked example (edit blue cells, totals recalc)</t>
        </is>
      </c>
    </row>
    <row r="2">
      <c r="A2" s="9" t="inlineStr">
        <is>
          <t>Line</t>
        </is>
      </c>
      <c r="B2" s="9" t="inlineStr">
        <is>
          <t>Qty BT-129</t>
        </is>
      </c>
      <c r="C2" s="9" t="inlineStr">
        <is>
          <t>Gross price BT-148</t>
        </is>
      </c>
      <c r="D2" s="9" t="inlineStr">
        <is>
          <t>Discount BT-147</t>
        </is>
      </c>
      <c r="E2" s="9" t="inlineStr">
        <is>
          <t>Base qty BT-149</t>
        </is>
      </c>
      <c r="F2" s="9" t="inlineStr">
        <is>
          <t>Net price BT-146</t>
        </is>
      </c>
      <c r="G2" s="9" t="inlineStr">
        <is>
          <t>Line allow BT-136</t>
        </is>
      </c>
      <c r="H2" s="9" t="inlineStr">
        <is>
          <t>Line charge BT-141</t>
        </is>
      </c>
      <c r="I2" s="9" t="inlineStr">
        <is>
          <t>Line net BT-131</t>
        </is>
      </c>
      <c r="J2" s="9" t="inlineStr">
        <is>
          <t>VAT cat BT-151</t>
        </is>
      </c>
      <c r="K2" s="9" t="inlineStr">
        <is>
          <t>Rate BT-152</t>
        </is>
      </c>
    </row>
    <row r="3">
      <c r="A3" t="n">
        <v>1</v>
      </c>
      <c r="B3" s="10" t="n">
        <v>10</v>
      </c>
      <c r="C3" s="10" t="n">
        <v>100</v>
      </c>
      <c r="D3" s="10" t="n">
        <v>0</v>
      </c>
      <c r="E3" s="10" t="n">
        <v>1</v>
      </c>
      <c r="F3">
        <f>C3-D3</f>
        <v/>
      </c>
      <c r="G3" s="10" t="n">
        <v>0</v>
      </c>
      <c r="H3" s="10" t="n">
        <v>0</v>
      </c>
      <c r="I3">
        <f>ROUND(B3*(F3/E3)+H3-G3,2)</f>
        <v/>
      </c>
      <c r="J3" s="10" t="inlineStr">
        <is>
          <t>S</t>
        </is>
      </c>
      <c r="K3" s="10" t="n">
        <v>5</v>
      </c>
    </row>
    <row r="4">
      <c r="A4" t="n">
        <v>2</v>
      </c>
      <c r="B4" s="10" t="n">
        <v>4</v>
      </c>
      <c r="C4" s="10" t="n">
        <v>250</v>
      </c>
      <c r="D4" s="10" t="n">
        <v>25</v>
      </c>
      <c r="E4" s="10" t="n">
        <v>1</v>
      </c>
      <c r="F4">
        <f>C4-D4</f>
        <v/>
      </c>
      <c r="G4" s="10" t="n">
        <v>0</v>
      </c>
      <c r="H4" s="10" t="n">
        <v>10</v>
      </c>
      <c r="I4">
        <f>ROUND(B4*(F4/E4)+H4-G4,2)</f>
        <v/>
      </c>
      <c r="J4" s="10" t="inlineStr">
        <is>
          <t>S</t>
        </is>
      </c>
      <c r="K4" s="10" t="n">
        <v>5</v>
      </c>
    </row>
    <row r="5">
      <c r="A5" t="n">
        <v>3</v>
      </c>
      <c r="B5" s="10" t="n">
        <v>1</v>
      </c>
      <c r="C5" s="10" t="n">
        <v>300</v>
      </c>
      <c r="D5" s="10" t="n">
        <v>0</v>
      </c>
      <c r="E5" s="10" t="n">
        <v>1</v>
      </c>
      <c r="F5">
        <f>C5-D5</f>
        <v/>
      </c>
      <c r="G5" s="10" t="n">
        <v>5</v>
      </c>
      <c r="H5" s="10" t="n">
        <v>0</v>
      </c>
      <c r="I5">
        <f>ROUND(B5*(F5/E5)+H5-G5,2)</f>
        <v/>
      </c>
      <c r="J5" s="10" t="inlineStr">
        <is>
          <t>Z</t>
        </is>
      </c>
      <c r="K5" s="10" t="n">
        <v>0</v>
      </c>
    </row>
    <row r="7">
      <c r="A7" s="11" t="inlineStr">
        <is>
          <t>Doc allowance BT-92 (cat S)</t>
        </is>
      </c>
      <c r="B7" s="10" t="n">
        <v>50</v>
      </c>
    </row>
    <row r="8">
      <c r="A8" s="11" t="inlineStr">
        <is>
          <t>Doc charge BT-99 (cat S)</t>
        </is>
      </c>
      <c r="B8" s="10" t="n">
        <v>25</v>
      </c>
    </row>
    <row r="9">
      <c r="A9" s="11" t="inlineStr">
        <is>
          <t>Paid amount BT-113</t>
        </is>
      </c>
      <c r="B9" s="10" t="n">
        <v>0</v>
      </c>
    </row>
    <row r="10">
      <c r="A10" s="11" t="inlineStr">
        <is>
          <t>Rounding BT-114</t>
        </is>
      </c>
      <c r="B10" s="10" t="n">
        <v>0</v>
      </c>
    </row>
    <row r="11">
      <c r="A11" s="11" t="inlineStr">
        <is>
          <t>Exchange rate to AED</t>
        </is>
      </c>
      <c r="B11" s="10" t="n">
        <v>1</v>
      </c>
    </row>
    <row r="12">
      <c r="A12" s="12" t="inlineStr">
        <is>
          <t>BT-106 Sum of line net</t>
        </is>
      </c>
      <c r="B12">
        <f>SUM(I3:I5)</f>
        <v/>
      </c>
    </row>
    <row r="13">
      <c r="A13" s="12" t="inlineStr">
        <is>
          <t>BT-107 Sum of allowances</t>
        </is>
      </c>
      <c r="B13">
        <f>B7</f>
        <v/>
      </c>
    </row>
    <row r="14">
      <c r="A14" s="12" t="inlineStr">
        <is>
          <t>BT-108 Sum of charges</t>
        </is>
      </c>
      <c r="B14">
        <f>B8</f>
        <v/>
      </c>
    </row>
    <row r="15">
      <c r="A15" s="12" t="inlineStr">
        <is>
          <t>BT-116 taxable, S</t>
        </is>
      </c>
      <c r="B15">
        <f>SUMIF(J3:J5,"S",I3:I5)-B7+B8</f>
        <v/>
      </c>
    </row>
    <row r="16">
      <c r="A16" s="12" t="inlineStr">
        <is>
          <t>BT-117 VAT, S</t>
        </is>
      </c>
      <c r="B16">
        <f>ROUND(B15*0.05,2)</f>
        <v/>
      </c>
    </row>
    <row r="17">
      <c r="A17" s="12" t="inlineStr">
        <is>
          <t>BT-116 taxable, Z</t>
        </is>
      </c>
      <c r="B17">
        <f>SUMIF(J3:J5,"Z",I3:I5)</f>
        <v/>
      </c>
    </row>
    <row r="18">
      <c r="A18" s="12" t="inlineStr">
        <is>
          <t>BT-117 VAT, Z</t>
        </is>
      </c>
      <c r="B18">
        <f>ROUND(B17*0,2)</f>
        <v/>
      </c>
    </row>
    <row r="19">
      <c r="A19" s="12" t="inlineStr">
        <is>
          <t>BT-109 Total without VAT</t>
        </is>
      </c>
      <c r="B19">
        <f>B12-B13+B14</f>
        <v/>
      </c>
    </row>
    <row r="20">
      <c r="A20" s="12" t="inlineStr">
        <is>
          <t>BT-110 Total VAT</t>
        </is>
      </c>
      <c r="B20">
        <f>B16+B18</f>
        <v/>
      </c>
    </row>
    <row r="21">
      <c r="A21" s="12" t="inlineStr">
        <is>
          <t>BT-112 Total with VAT</t>
        </is>
      </c>
      <c r="B21">
        <f>B19+B20</f>
        <v/>
      </c>
    </row>
    <row r="22">
      <c r="A22" s="12" t="inlineStr">
        <is>
          <t>BT-115 Amount due</t>
        </is>
      </c>
      <c r="B22">
        <f>B21-B9+B10</f>
        <v/>
      </c>
    </row>
    <row r="23">
      <c r="A23" s="12" t="inlineStr">
        <is>
          <t>BT-111 VAT in AED</t>
        </is>
      </c>
      <c r="B23">
        <f>ROUND(B20*B11,2)</f>
        <v/>
      </c>
    </row>
    <row r="24">
      <c r="A24" s="12" t="inlineStr">
        <is>
          <t>Check: BT-109 = sum(BT-116)</t>
        </is>
      </c>
      <c r="B24">
        <f>IF(ROUND(B19-(B15+B17),2)=0,"OK","MISMATCH")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60" customWidth="1" min="3" max="3"/>
  </cols>
  <sheetData>
    <row r="1">
      <c r="A1" s="3" t="inlineStr">
        <is>
          <t>List</t>
        </is>
      </c>
      <c r="B1" s="3" t="inlineStr">
        <is>
          <t>Code</t>
        </is>
      </c>
      <c r="C1" s="3" t="inlineStr">
        <is>
          <t>Meaning</t>
        </is>
      </c>
    </row>
    <row r="2">
      <c r="A2" s="4" t="inlineStr">
        <is>
          <t>Invoice type (BT-3)</t>
        </is>
      </c>
      <c r="B2" s="4" t="inlineStr">
        <is>
          <t>380</t>
        </is>
      </c>
      <c r="C2" s="4" t="inlineStr">
        <is>
          <t>Tax invoice</t>
        </is>
      </c>
    </row>
    <row r="3">
      <c r="A3" s="4" t="inlineStr">
        <is>
          <t>Invoice type (BT-3)</t>
        </is>
      </c>
      <c r="B3" s="4" t="inlineStr">
        <is>
          <t>381</t>
        </is>
      </c>
      <c r="C3" s="4" t="inlineStr">
        <is>
          <t>Credit note</t>
        </is>
      </c>
    </row>
    <row r="4">
      <c r="A4" s="4" t="inlineStr">
        <is>
          <t>Invoice type (BT-3)</t>
        </is>
      </c>
      <c r="B4" s="4" t="inlineStr">
        <is>
          <t>384</t>
        </is>
      </c>
      <c r="C4" s="4" t="inlineStr">
        <is>
          <t>Corrected invoice</t>
        </is>
      </c>
    </row>
    <row r="5">
      <c r="A5" s="4" t="inlineStr">
        <is>
          <t>Invoice type (BT-3)</t>
        </is>
      </c>
      <c r="B5" s="4" t="inlineStr">
        <is>
          <t>389</t>
        </is>
      </c>
      <c r="C5" s="4" t="inlineStr">
        <is>
          <t>Self-billed invoice</t>
        </is>
      </c>
    </row>
    <row r="6">
      <c r="A6" s="4" t="inlineStr">
        <is>
          <t>VAT category</t>
        </is>
      </c>
      <c r="B6" s="4" t="inlineStr">
        <is>
          <t>S</t>
        </is>
      </c>
      <c r="C6" s="4" t="inlineStr">
        <is>
          <t>Standard rate (5%)</t>
        </is>
      </c>
    </row>
    <row r="7">
      <c r="A7" s="4" t="inlineStr">
        <is>
          <t>VAT category</t>
        </is>
      </c>
      <c r="B7" s="4" t="inlineStr">
        <is>
          <t>Z</t>
        </is>
      </c>
      <c r="C7" s="4" t="inlineStr">
        <is>
          <t>Zero-rated</t>
        </is>
      </c>
    </row>
    <row r="8">
      <c r="A8" s="4" t="inlineStr">
        <is>
          <t>VAT category</t>
        </is>
      </c>
      <c r="B8" s="4" t="inlineStr">
        <is>
          <t>E</t>
        </is>
      </c>
      <c r="C8" s="4" t="inlineStr">
        <is>
          <t>Exempt</t>
        </is>
      </c>
    </row>
    <row r="9">
      <c r="A9" s="4" t="inlineStr">
        <is>
          <t>VAT category</t>
        </is>
      </c>
      <c r="B9" s="4" t="inlineStr">
        <is>
          <t>O</t>
        </is>
      </c>
      <c r="C9" s="4" t="inlineStr">
        <is>
          <t>Out of scope / not subject to VAT</t>
        </is>
      </c>
    </row>
    <row r="10">
      <c r="A10" s="4" t="inlineStr">
        <is>
          <t>Emirate (BT-39/54)</t>
        </is>
      </c>
      <c r="B10" s="4" t="inlineStr">
        <is>
          <t>AUH</t>
        </is>
      </c>
      <c r="C10" s="4" t="inlineStr">
        <is>
          <t>Abu Dhabi</t>
        </is>
      </c>
    </row>
    <row r="11">
      <c r="A11" s="4" t="inlineStr">
        <is>
          <t>Emirate (BT-39/54)</t>
        </is>
      </c>
      <c r="B11" s="4" t="inlineStr">
        <is>
          <t>AJM</t>
        </is>
      </c>
      <c r="C11" s="4" t="inlineStr">
        <is>
          <t>Ajman</t>
        </is>
      </c>
    </row>
    <row r="12">
      <c r="A12" s="4" t="inlineStr">
        <is>
          <t>Emirate (BT-39/54)</t>
        </is>
      </c>
      <c r="B12" s="4" t="inlineStr">
        <is>
          <t>DXB</t>
        </is>
      </c>
      <c r="C12" s="4" t="inlineStr">
        <is>
          <t>Dubai</t>
        </is>
      </c>
    </row>
    <row r="13">
      <c r="A13" s="4" t="inlineStr">
        <is>
          <t>Emirate (BT-39/54)</t>
        </is>
      </c>
      <c r="B13" s="4" t="inlineStr">
        <is>
          <t>FUJ</t>
        </is>
      </c>
      <c r="C13" s="4" t="inlineStr">
        <is>
          <t>Fujairah</t>
        </is>
      </c>
    </row>
    <row r="14">
      <c r="A14" s="4" t="inlineStr">
        <is>
          <t>Emirate (BT-39/54)</t>
        </is>
      </c>
      <c r="B14" s="4" t="inlineStr">
        <is>
          <t>RAK</t>
        </is>
      </c>
      <c r="C14" s="4" t="inlineStr">
        <is>
          <t>Ras Al Khaimah</t>
        </is>
      </c>
    </row>
    <row r="15">
      <c r="A15" s="4" t="inlineStr">
        <is>
          <t>Emirate (BT-39/54)</t>
        </is>
      </c>
      <c r="B15" s="4" t="inlineStr">
        <is>
          <t>SHJ</t>
        </is>
      </c>
      <c r="C15" s="4" t="inlineStr">
        <is>
          <t>Sharjah</t>
        </is>
      </c>
    </row>
    <row r="16">
      <c r="A16" s="4" t="inlineStr">
        <is>
          <t>Emirate (BT-39/54)</t>
        </is>
      </c>
      <c r="B16" s="4" t="inlineStr">
        <is>
          <t>UAQ</t>
        </is>
      </c>
      <c r="C16" s="4" t="inlineStr">
        <is>
          <t>Umm Al Quwain</t>
        </is>
      </c>
    </row>
    <row r="17">
      <c r="A17" s="4" t="inlineStr">
        <is>
          <t>Legal ID scheme (BT-30-1/47-1)</t>
        </is>
      </c>
      <c r="B17" s="4" t="inlineStr">
        <is>
          <t>TL</t>
        </is>
      </c>
      <c r="C17" s="4" t="inlineStr">
        <is>
          <t>Trade licence</t>
        </is>
      </c>
    </row>
    <row r="18">
      <c r="A18" s="4" t="inlineStr">
        <is>
          <t>Legal ID scheme (BT-30-1/47-1)</t>
        </is>
      </c>
      <c r="B18" s="4" t="inlineStr">
        <is>
          <t>EID</t>
        </is>
      </c>
      <c r="C18" s="4" t="inlineStr">
        <is>
          <t>Emirates ID</t>
        </is>
      </c>
    </row>
    <row r="19">
      <c r="A19" s="4" t="inlineStr">
        <is>
          <t>Legal ID scheme (BT-30-1/47-1)</t>
        </is>
      </c>
      <c r="B19" s="4" t="inlineStr">
        <is>
          <t>PAS</t>
        </is>
      </c>
      <c r="C19" s="4" t="inlineStr">
        <is>
          <t>Passport</t>
        </is>
      </c>
    </row>
    <row r="20">
      <c r="A20" s="4" t="inlineStr">
        <is>
          <t>Legal ID scheme (BT-30-1/47-1)</t>
        </is>
      </c>
      <c r="B20" s="4" t="inlineStr">
        <is>
          <t>CD</t>
        </is>
      </c>
      <c r="C20" s="4" t="inlineStr">
        <is>
          <t>Cabinet decision</t>
        </is>
      </c>
    </row>
    <row r="21">
      <c r="A21" s="4" t="inlineStr">
        <is>
          <t>Payment means (BT-81)</t>
        </is>
      </c>
      <c r="B21" s="4" t="inlineStr">
        <is>
          <t>10</t>
        </is>
      </c>
      <c r="C21" s="4" t="inlineStr">
        <is>
          <t>Cash</t>
        </is>
      </c>
    </row>
    <row r="22">
      <c r="A22" s="4" t="inlineStr">
        <is>
          <t>Payment means (BT-81)</t>
        </is>
      </c>
      <c r="B22" s="4" t="inlineStr">
        <is>
          <t>30</t>
        </is>
      </c>
      <c r="C22" s="4" t="inlineStr">
        <is>
          <t>Credit transfer</t>
        </is>
      </c>
    </row>
    <row r="23">
      <c r="A23" s="4" t="inlineStr">
        <is>
          <t>Payment means (BT-81)</t>
        </is>
      </c>
      <c r="B23" s="4" t="inlineStr">
        <is>
          <t>48</t>
        </is>
      </c>
      <c r="C23" s="4" t="inlineStr">
        <is>
          <t>Bank card</t>
        </is>
      </c>
    </row>
    <row r="24">
      <c r="A24" s="4" t="inlineStr">
        <is>
          <t>Payment means (BT-81)</t>
        </is>
      </c>
      <c r="B24" s="4" t="inlineStr">
        <is>
          <t>49</t>
        </is>
      </c>
      <c r="C24" s="4" t="inlineStr">
        <is>
          <t>Direct debit</t>
        </is>
      </c>
    </row>
    <row r="25">
      <c r="A25" s="4" t="inlineStr">
        <is>
          <t>BTAE-02 position</t>
        </is>
      </c>
      <c r="B25" s="4" t="inlineStr">
        <is>
          <t>1-8</t>
        </is>
      </c>
      <c r="C25" s="4" t="inlineStr">
        <is>
          <t>Free zone, Deemed supply, Margin scheme, Summary invoice, Continuous supply, Disclosed agent billing, E-commerce, Exports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2026-10-30T12:18:54Z</dcterms:created>
  <dcterms:modified xmlns:dcterms="http://purl.org/dc/terms/" xmlns:xsi="http://www.w3.org/2001/XMLSchema-instance" xsi:type="dcterms:W3CDTF">2026-10-30T12:18:54Z</dcterms:modified>
</cp:coreProperties>
</file>